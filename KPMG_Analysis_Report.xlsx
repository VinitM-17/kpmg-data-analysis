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ask1 - Data Cleaning" sheetId="2" state="visible" r:id="rId2"/>
    <sheet xmlns:r="http://schemas.openxmlformats.org/officeDocument/2006/relationships" name="Task2 - Segmentation" sheetId="3" state="visible" r:id="rId3"/>
    <sheet xmlns:r="http://schemas.openxmlformats.org/officeDocument/2006/relationships" name="Task3 - Transactions" sheetId="4" state="visible" r:id="rId4"/>
    <sheet xmlns:r="http://schemas.openxmlformats.org/officeDocument/2006/relationships" name="Task4 - New Customers" sheetId="5" state="visible" r:id="rId5"/>
    <sheet xmlns:r="http://schemas.openxmlformats.org/officeDocument/2006/relationships" name="Task5 - CLV Analysis" sheetId="6" state="visible" r:id="rId6"/>
    <sheet xmlns:r="http://schemas.openxmlformats.org/officeDocument/2006/relationships" name="Task6 - Executiv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i val="1"/>
      <color rgb="00BDD7EE"/>
      <sz val="14"/>
    </font>
    <font>
      <name val="Arial"/>
      <b val="1"/>
      <color rgb="001F2D3D"/>
      <sz val="11"/>
    </font>
    <font>
      <name val="Arial"/>
      <color rgb="001F2D3D"/>
      <sz val="11"/>
    </font>
    <font>
      <name val="Arial"/>
      <b val="1"/>
      <color rgb="00FFFFFF"/>
      <sz val="16"/>
    </font>
    <font>
      <name val="Arial"/>
      <i val="1"/>
      <color rgb="001F2D3D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1F2D3D"/>
      <sz val="10"/>
    </font>
    <font>
      <name val="Arial"/>
      <color rgb="0000B050"/>
      <sz val="10"/>
    </font>
    <font>
      <name val="Arial"/>
      <i val="1"/>
      <sz val="10"/>
    </font>
    <font>
      <name val="Arial"/>
      <i val="1"/>
      <color rgb="00555555"/>
      <sz val="9"/>
    </font>
    <font>
      <name val="Arial"/>
      <b val="1"/>
      <color rgb="001F2D3D"/>
      <sz val="10"/>
    </font>
    <font>
      <name val="Arial"/>
      <i val="1"/>
      <color rgb="001B3A6B"/>
      <sz val="10"/>
    </font>
    <font>
      <name val="Arial"/>
      <b val="1"/>
      <color rgb="00FFFFFF"/>
      <sz val="10"/>
    </font>
    <font>
      <name val="Arial"/>
      <i val="1"/>
      <color rgb="001B3A6B"/>
      <sz val="12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4A261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  <fill>
      <patternFill patternType="solid">
        <fgColor rgb="00FFD700"/>
      </patternFill>
    </fill>
    <fill>
      <patternFill patternType="solid">
        <fgColor rgb="00E8F4FD"/>
      </patternFill>
    </fill>
    <fill>
      <patternFill patternType="solid">
        <fgColor rgb="0070AD47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2E6DA4"/>
      </left>
      <right style="medium">
        <color rgb="002E6DA4"/>
      </right>
      <top style="medium">
        <color rgb="002E6DA4"/>
      </top>
      <bottom style="medium">
        <color rgb="002E6DA4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2" fontId="9" fillId="7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2" fontId="13" fillId="3" borderId="1" applyAlignment="1" pivotButton="0" quotePrefix="0" xfId="0">
      <alignment horizontal="center" vertical="center"/>
    </xf>
    <xf numFmtId="0" fontId="14" fillId="8" borderId="0" applyAlignment="1" pivotButton="0" quotePrefix="0" xfId="0">
      <alignment vertical="center" wrapText="1"/>
    </xf>
    <xf numFmtId="164" fontId="9" fillId="4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4" fontId="9" fillId="4" borderId="1" applyAlignment="1" pivotButton="0" quotePrefix="0" xfId="0">
      <alignment horizontal="center" vertical="center"/>
    </xf>
    <xf numFmtId="4" fontId="9" fillId="7" borderId="1" applyAlignment="1" pivotButton="0" quotePrefix="0" xfId="0">
      <alignment horizontal="center" vertical="center"/>
    </xf>
    <xf numFmtId="4" fontId="13" fillId="3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4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4" fontId="13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4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9" fillId="11" borderId="2" applyAlignment="1" pivotButton="0" quotePrefix="0" xfId="0">
      <alignment vertical="top" wrapText="1"/>
    </xf>
    <xf numFmtId="0" fontId="16" fillId="5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2017</a:t>
            </a:r>
          </a:p>
        </rich>
      </tx>
    </title>
    <plotArea>
      <lineChart>
        <grouping val="standard"/>
        <ser>
          <idx val="0"/>
          <order val="0"/>
          <tx>
            <strRef>
              <f>'Task3 - Transactions'!B6</f>
            </strRef>
          </tx>
          <spPr>
            <a:ln xmlns:a="http://schemas.openxmlformats.org/drawingml/2006/main" w="20000">
              <a:solidFill>
                <a:srgbClr val="2E6DA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'Task3 - Transactions'!$A$7:$A$18</f>
            </numRef>
          </cat>
          <val>
            <numRef>
              <f>'Task3 - Transactions'!$B$7:$B$18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</cols>
  <sheetData>
    <row r="1" ht="15" customHeight="1">
      <c r="A1" s="1" t="inlineStr"/>
    </row>
    <row r="2" ht="15" customHeight="1"/>
    <row r="3" ht="15" customHeight="1"/>
    <row r="4" ht="15" customHeight="1"/>
    <row r="5" ht="22" customHeight="1">
      <c r="A5" s="2" t="inlineStr">
        <is>
          <t>KPMG DATA ANALYSIS PROJECT</t>
        </is>
      </c>
    </row>
    <row r="6" ht="22" customHeight="1"/>
    <row r="7" ht="22" customHeight="1"/>
    <row r="8" ht="22" customHeight="1"/>
    <row r="9" ht="18" customHeight="1">
      <c r="A9" s="3" t="inlineStr">
        <is>
          <t>Course 2: Data Management and Analysis with MS Excel</t>
        </is>
      </c>
    </row>
    <row r="10" ht="18" customHeight="1"/>
    <row r="11" ht="18" customHeight="1"/>
    <row r="12" ht="10" customHeight="1">
      <c r="A12" s="4" t="n"/>
    </row>
    <row r="13" ht="10" customHeight="1"/>
    <row r="15" ht="22" customHeight="1">
      <c r="A15" s="5" t="inlineStr">
        <is>
          <t>Dataset</t>
        </is>
      </c>
      <c r="B15" s="6" t="inlineStr">
        <is>
          <t>KPMG Customer &amp; Transaction Dataset</t>
        </is>
      </c>
      <c r="C15" s="7" t="n"/>
    </row>
    <row r="17" ht="22" customHeight="1">
      <c r="A17" s="8" t="inlineStr">
        <is>
          <t>Records Analysed</t>
        </is>
      </c>
      <c r="B17" s="9" t="inlineStr">
        <is>
          <t>20,000 Transactions | 4,000 Customers | 1,000 New Prospects</t>
        </is>
      </c>
    </row>
    <row r="19" ht="22" customHeight="1">
      <c r="A19" s="5" t="inlineStr">
        <is>
          <t>Time Period</t>
        </is>
      </c>
      <c r="B19" s="6" t="inlineStr">
        <is>
          <t>January 2017 – December 2017</t>
        </is>
      </c>
      <c r="C19" s="7" t="n"/>
    </row>
    <row r="21" ht="22" customHeight="1">
      <c r="A21" s="8" t="inlineStr">
        <is>
          <t>Tasks Covered</t>
        </is>
      </c>
      <c r="B21" s="9" t="inlineStr">
        <is>
          <t>6 Tasks: Cleaning → Segmentation → Transactions → New Customers → CLV → Summary</t>
        </is>
      </c>
    </row>
    <row r="23" ht="22" customHeight="1">
      <c r="A23" s="5" t="inlineStr">
        <is>
          <t>Prepared By</t>
        </is>
      </c>
      <c r="B23" s="6" t="inlineStr">
        <is>
          <t>Data Analytics Team</t>
        </is>
      </c>
      <c r="C23" s="7" t="n"/>
    </row>
    <row r="25" ht="22" customHeight="1">
      <c r="A25" s="8" t="inlineStr">
        <is>
          <t>Tool Used</t>
        </is>
      </c>
      <c r="B25" s="9" t="inlineStr">
        <is>
          <t>Microsoft Excel | Python (for data extraction &amp; formula generation)</t>
        </is>
      </c>
    </row>
  </sheetData>
  <mergeCells count="16">
    <mergeCell ref="A1:C4"/>
    <mergeCell ref="A5:C8"/>
    <mergeCell ref="B21:C21"/>
    <mergeCell ref="A17"/>
    <mergeCell ref="B15:C15"/>
    <mergeCell ref="A9:C11"/>
    <mergeCell ref="B25:C25"/>
    <mergeCell ref="A21"/>
    <mergeCell ref="B19:C19"/>
    <mergeCell ref="A15"/>
    <mergeCell ref="A25"/>
    <mergeCell ref="B23:C23"/>
    <mergeCell ref="B17:C17"/>
    <mergeCell ref="A19"/>
    <mergeCell ref="A12:C13"/>
    <mergeCell ref="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5" customWidth="1" min="5" max="5"/>
    <col width="15" customWidth="1" min="6" max="6"/>
  </cols>
  <sheetData>
    <row r="1" ht="35" customHeight="1">
      <c r="A1" s="10" t="inlineStr">
        <is>
          <t>TASK 1: DATA CLEANING</t>
        </is>
      </c>
    </row>
    <row r="2" ht="20" customHeight="1">
      <c r="A2" s="11" t="inlineStr">
        <is>
          <t>Objective: Prepare all datasets for analysis by identifying and correcting inconsistencies, duplicates, and formatting issues.</t>
        </is>
      </c>
    </row>
    <row r="4" ht="22" customHeight="1">
      <c r="A4" s="12" t="inlineStr">
        <is>
          <t>1.1  Customer Address Data Cleaning</t>
        </is>
      </c>
    </row>
    <row r="5" ht="18" customHeight="1">
      <c r="A5" s="13" t="inlineStr">
        <is>
          <t>Issue Found</t>
        </is>
      </c>
      <c r="B5" s="13" t="inlineStr">
        <is>
          <t>Original Value(s)</t>
        </is>
      </c>
      <c r="C5" s="13" t="inlineStr">
        <is>
          <t>Corrected Value</t>
        </is>
      </c>
      <c r="D5" s="13" t="inlineStr">
        <is>
          <t>Excel Method</t>
        </is>
      </c>
      <c r="E5" s="13" t="inlineStr">
        <is>
          <t>Count</t>
        </is>
      </c>
      <c r="F5" s="13" t="inlineStr">
        <is>
          <t>Status</t>
        </is>
      </c>
    </row>
    <row r="6">
      <c r="A6" s="14" t="inlineStr">
        <is>
          <t>Duplicate Records</t>
        </is>
      </c>
      <c r="B6" s="14" t="inlineStr">
        <is>
          <t>Any repeated customer_id rows</t>
        </is>
      </c>
      <c r="C6" s="14" t="inlineStr">
        <is>
          <t>Remove duplicates</t>
        </is>
      </c>
      <c r="D6" s="14" t="inlineStr">
        <is>
          <t>Data → Remove Duplicates → customer_id</t>
        </is>
      </c>
      <c r="E6" s="14" t="inlineStr">
        <is>
          <t>0 found</t>
        </is>
      </c>
      <c r="F6" s="15" t="inlineStr">
        <is>
          <t>✅ Clean</t>
        </is>
      </c>
    </row>
    <row r="7">
      <c r="A7" s="16" t="inlineStr">
        <is>
          <t>State: Abbreviated 'NSW'</t>
        </is>
      </c>
      <c r="B7" s="16" t="inlineStr">
        <is>
          <t>NSW</t>
        </is>
      </c>
      <c r="C7" s="16" t="inlineStr">
        <is>
          <t>New South Wales</t>
        </is>
      </c>
      <c r="D7" s="16" t="inlineStr">
        <is>
          <t>Find &amp; Replace (Ctrl+H): NSW → New South Wales</t>
        </is>
      </c>
      <c r="E7" s="16" t="inlineStr">
        <is>
          <t>~1200 rows</t>
        </is>
      </c>
      <c r="F7" s="17" t="inlineStr">
        <is>
          <t>✅ Fixed</t>
        </is>
      </c>
    </row>
    <row r="8">
      <c r="A8" s="14" t="inlineStr">
        <is>
          <t>State: Abbreviated 'QLD'</t>
        </is>
      </c>
      <c r="B8" s="14" t="inlineStr">
        <is>
          <t>QLD</t>
        </is>
      </c>
      <c r="C8" s="14" t="inlineStr">
        <is>
          <t>Queensland</t>
        </is>
      </c>
      <c r="D8" s="14" t="inlineStr">
        <is>
          <t>Find &amp; Replace: QLD → Queensland</t>
        </is>
      </c>
      <c r="E8" s="14" t="inlineStr">
        <is>
          <t>~800 rows</t>
        </is>
      </c>
      <c r="F8" s="15" t="inlineStr">
        <is>
          <t>✅ Fixed</t>
        </is>
      </c>
    </row>
    <row r="9">
      <c r="A9" s="16" t="inlineStr">
        <is>
          <t>State: Abbreviated 'VIC'</t>
        </is>
      </c>
      <c r="B9" s="16" t="inlineStr">
        <is>
          <t>VIC</t>
        </is>
      </c>
      <c r="C9" s="16" t="inlineStr">
        <is>
          <t>Victoria</t>
        </is>
      </c>
      <c r="D9" s="16" t="inlineStr">
        <is>
          <t>Find &amp; Replace: VIC → Victoria</t>
        </is>
      </c>
      <c r="E9" s="16" t="inlineStr">
        <is>
          <t>~700 rows</t>
        </is>
      </c>
      <c r="F9" s="17" t="inlineStr">
        <is>
          <t>✅ Fixed</t>
        </is>
      </c>
    </row>
    <row r="10">
      <c r="A10" s="14" t="inlineStr">
        <is>
          <t>State: 'Victoria' vs 'VIC'</t>
        </is>
      </c>
      <c r="B10" s="14" t="inlineStr">
        <is>
          <t>Mixed formats</t>
        </is>
      </c>
      <c r="C10" s="14" t="inlineStr">
        <is>
          <t>Victoria (consistent)</t>
        </is>
      </c>
      <c r="D10" s="14">
        <f>IF(E2="VIC","Victoria",IF(E2="Victoria","Victoria",E2))</f>
        <v/>
      </c>
      <c r="E10" s="14" t="inlineStr">
        <is>
          <t>All rows</t>
        </is>
      </c>
      <c r="F10" s="15" t="inlineStr">
        <is>
          <t>✅ Fixed</t>
        </is>
      </c>
    </row>
    <row r="12" ht="22" customHeight="1">
      <c r="A12" s="12" t="inlineStr">
        <is>
          <t>1.2  Customer Demographic Data Cleaning</t>
        </is>
      </c>
    </row>
    <row r="13" ht="18" customHeight="1">
      <c r="A13" s="13" t="inlineStr">
        <is>
          <t>Issue Found</t>
        </is>
      </c>
      <c r="B13" s="13" t="inlineStr">
        <is>
          <t>Original Value(s)</t>
        </is>
      </c>
      <c r="C13" s="13" t="inlineStr">
        <is>
          <t>Corrected Value</t>
        </is>
      </c>
      <c r="D13" s="13" t="inlineStr">
        <is>
          <t>Excel Method</t>
        </is>
      </c>
      <c r="E13" s="13" t="inlineStr">
        <is>
          <t>Count</t>
        </is>
      </c>
      <c r="F13" s="13" t="inlineStr">
        <is>
          <t>Status</t>
        </is>
      </c>
    </row>
    <row r="14" ht="20" customHeight="1">
      <c r="A14" s="18" t="inlineStr">
        <is>
          <t>Invalid 'default' column values</t>
        </is>
      </c>
      <c r="B14" s="18" t="inlineStr">
        <is>
          <t>&lt;script&gt;alert..&gt;, emoji, shellshock</t>
        </is>
      </c>
      <c r="C14" s="18" t="inlineStr">
        <is>
          <t>Replace with 'N/A'</t>
        </is>
      </c>
      <c r="D14" s="18">
        <f>IF(ISNUMBER(SEARCH("&lt;",K2)),"N/A",K2) then extend</f>
        <v/>
      </c>
      <c r="E14" s="18" t="inlineStr">
        <is>
          <t>302 rows</t>
        </is>
      </c>
      <c r="F14" s="19" t="inlineStr">
        <is>
          <t>✅ Fixed</t>
        </is>
      </c>
    </row>
    <row r="15" ht="20" customHeight="1">
      <c r="A15" s="20" t="inlineStr">
        <is>
          <t>Gender: 'F' abbreviation</t>
        </is>
      </c>
      <c r="B15" s="20" t="inlineStr">
        <is>
          <t>F</t>
        </is>
      </c>
      <c r="C15" s="20" t="inlineStr">
        <is>
          <t>Female</t>
        </is>
      </c>
      <c r="D15" s="20">
        <f>IF(D2="F","Female",D2) → new column, copy-paste special values</f>
        <v/>
      </c>
      <c r="E15" s="20" t="inlineStr">
        <is>
          <t>~2000 rows</t>
        </is>
      </c>
      <c r="F15" s="21" t="inlineStr">
        <is>
          <t>✅ Fixed</t>
        </is>
      </c>
    </row>
    <row r="16" ht="20" customHeight="1">
      <c r="A16" s="18" t="inlineStr">
        <is>
          <t>Gender: 'M' abbreviation</t>
        </is>
      </c>
      <c r="B16" s="18" t="inlineStr">
        <is>
          <t>M</t>
        </is>
      </c>
      <c r="C16" s="18" t="inlineStr">
        <is>
          <t>Male</t>
        </is>
      </c>
      <c r="D16" s="18">
        <f>IF(D2="M","Male",D2)</f>
        <v/>
      </c>
      <c r="E16" s="18" t="inlineStr">
        <is>
          <t>~1900 rows</t>
        </is>
      </c>
      <c r="F16" s="19" t="inlineStr">
        <is>
          <t>✅ Fixed</t>
        </is>
      </c>
    </row>
    <row r="17" ht="20" customHeight="1">
      <c r="A17" s="20" t="inlineStr">
        <is>
          <t>Gender: 'Femal' typo</t>
        </is>
      </c>
      <c r="B17" s="20" t="inlineStr">
        <is>
          <t>Femal</t>
        </is>
      </c>
      <c r="C17" s="20" t="inlineStr">
        <is>
          <t>Female</t>
        </is>
      </c>
      <c r="D17" s="20" t="inlineStr">
        <is>
          <t>Find &amp; Replace: Femal → Female</t>
        </is>
      </c>
      <c r="E17" s="20" t="inlineStr">
        <is>
          <t>Several rows</t>
        </is>
      </c>
      <c r="F17" s="21" t="inlineStr">
        <is>
          <t>✅ Fixed</t>
        </is>
      </c>
    </row>
    <row r="18" ht="20" customHeight="1">
      <c r="A18" s="18" t="inlineStr">
        <is>
          <t>Gender: 'U' (Unknown)</t>
        </is>
      </c>
      <c r="B18" s="18" t="inlineStr">
        <is>
          <t>U</t>
        </is>
      </c>
      <c r="C18" s="18" t="inlineStr">
        <is>
          <t>Unspecified</t>
        </is>
      </c>
      <c r="D18" s="18" t="inlineStr">
        <is>
          <t>Find &amp; Replace: U → Unspecified</t>
        </is>
      </c>
      <c r="E18" s="18" t="inlineStr">
        <is>
          <t>88 rows</t>
        </is>
      </c>
      <c r="F18" s="19" t="inlineStr">
        <is>
          <t>✅ Fixed</t>
        </is>
      </c>
    </row>
    <row r="19" ht="20" customHeight="1">
      <c r="A19" s="20" t="inlineStr">
        <is>
          <t>Missing last_name</t>
        </is>
      </c>
      <c r="B19" s="20" t="inlineStr">
        <is>
          <t>(blank)</t>
        </is>
      </c>
      <c r="C19" s="20" t="inlineStr">
        <is>
          <t>N/A</t>
        </is>
      </c>
      <c r="D19" s="20">
        <f>IF(C2="","N/A",C2)</f>
        <v/>
      </c>
      <c r="E19" s="20" t="inlineStr">
        <is>
          <t>125 rows</t>
        </is>
      </c>
      <c r="F19" s="21" t="inlineStr">
        <is>
          <t>✅ Fixed</t>
        </is>
      </c>
    </row>
    <row r="20" ht="20" customHeight="1">
      <c r="A20" s="18" t="inlineStr">
        <is>
          <t>Missing job_title / industry</t>
        </is>
      </c>
      <c r="B20" s="18" t="inlineStr">
        <is>
          <t>(blank)</t>
        </is>
      </c>
      <c r="C20" s="18" t="inlineStr">
        <is>
          <t>Unknown</t>
        </is>
      </c>
      <c r="D20" s="18">
        <f>IF(G2="","Unknown",G2)</f>
        <v/>
      </c>
      <c r="E20" s="18" t="inlineStr">
        <is>
          <t>506 / 656 rows</t>
        </is>
      </c>
      <c r="F20" s="19" t="inlineStr">
        <is>
          <t>✅ Fixed</t>
        </is>
      </c>
    </row>
    <row r="21" ht="20" customHeight="1">
      <c r="A21" s="20" t="inlineStr">
        <is>
          <t>Missing DOB / tenure</t>
        </is>
      </c>
      <c r="B21" s="20" t="inlineStr">
        <is>
          <t>(blank)</t>
        </is>
      </c>
      <c r="C21" s="20" t="inlineStr">
        <is>
          <t>Remove row</t>
        </is>
      </c>
      <c r="D21" s="20" t="inlineStr">
        <is>
          <t>Filter → blank DOB → delete rows</t>
        </is>
      </c>
      <c r="E21" s="20" t="inlineStr">
        <is>
          <t>87 rows</t>
        </is>
      </c>
      <c r="F21" s="21" t="inlineStr">
        <is>
          <t>✅ Fixed</t>
        </is>
      </c>
    </row>
    <row r="22" ht="20" customHeight="1">
      <c r="A22" s="18" t="inlineStr">
        <is>
          <t>Deceased customers (Y)</t>
        </is>
      </c>
      <c r="B22" s="18" t="inlineStr">
        <is>
          <t>Y in deceased_indicator</t>
        </is>
      </c>
      <c r="C22" s="18" t="inlineStr">
        <is>
          <t>Exclude from analysis</t>
        </is>
      </c>
      <c r="D22" s="18">
        <f>COUNTIF(J:J,"Y") → filter out</f>
        <v/>
      </c>
      <c r="E22" s="18" t="inlineStr">
        <is>
          <t>~2 rows</t>
        </is>
      </c>
      <c r="F22" s="19" t="inlineStr">
        <is>
          <t>✅ Fixed</t>
        </is>
      </c>
    </row>
    <row r="24" ht="22" customHeight="1">
      <c r="A24" s="12" t="inlineStr">
        <is>
          <t>1.3  Transaction Data Cleaning</t>
        </is>
      </c>
    </row>
    <row r="25">
      <c r="A25" s="13" t="inlineStr">
        <is>
          <t>Issue Found</t>
        </is>
      </c>
      <c r="B25" s="13" t="inlineStr">
        <is>
          <t>Original Value(s)</t>
        </is>
      </c>
      <c r="C25" s="13" t="inlineStr">
        <is>
          <t>Corrected Value</t>
        </is>
      </c>
      <c r="D25" s="13" t="inlineStr">
        <is>
          <t>Excel Method</t>
        </is>
      </c>
      <c r="E25" s="13" t="inlineStr">
        <is>
          <t>Count</t>
        </is>
      </c>
      <c r="F25" s="13" t="inlineStr">
        <is>
          <t>Status</t>
        </is>
      </c>
    </row>
    <row r="26" ht="20" customHeight="1">
      <c r="A26" s="18" t="inlineStr">
        <is>
          <t>Date not in date format</t>
        </is>
      </c>
      <c r="B26" s="18" t="inlineStr">
        <is>
          <t>Excel serial numbers (42791)</t>
        </is>
      </c>
      <c r="C26" s="18" t="inlineStr">
        <is>
          <t>Proper date (DD/MM/YYYY)</t>
        </is>
      </c>
      <c r="D26" s="18" t="inlineStr">
        <is>
          <t>Format Cells → Date → DD/MM/YYYY</t>
        </is>
      </c>
      <c r="E26" s="18" t="inlineStr">
        <is>
          <t>All rows</t>
        </is>
      </c>
      <c r="F26" s="19" t="inlineStr">
        <is>
          <t>✅ Fixed</t>
        </is>
      </c>
    </row>
    <row r="27" ht="20" customHeight="1">
      <c r="A27" s="20" t="inlineStr">
        <is>
          <t>Missing online_order flag</t>
        </is>
      </c>
      <c r="B27" s="20" t="inlineStr">
        <is>
          <t>(blank)</t>
        </is>
      </c>
      <c r="C27" s="20" t="inlineStr">
        <is>
          <t>Remove/flag rows</t>
        </is>
      </c>
      <c r="D27" s="20">
        <f>IF(E2="","Unknown",E2)</f>
        <v/>
      </c>
      <c r="E27" s="20" t="inlineStr">
        <is>
          <t>360 rows</t>
        </is>
      </c>
      <c r="F27" s="21" t="inlineStr">
        <is>
          <t>✅ Fixed</t>
        </is>
      </c>
    </row>
    <row r="28" ht="20" customHeight="1">
      <c r="A28" s="18" t="inlineStr">
        <is>
          <t>Missing brand/product info</t>
        </is>
      </c>
      <c r="B28" s="18" t="inlineStr">
        <is>
          <t>(blank)</t>
        </is>
      </c>
      <c r="C28" s="18" t="inlineStr">
        <is>
          <t>Remove incomplete rows</t>
        </is>
      </c>
      <c r="D28" s="18" t="inlineStr">
        <is>
          <t>Filter → blank brand → delete rows</t>
        </is>
      </c>
      <c r="E28" s="18" t="inlineStr">
        <is>
          <t>197 rows</t>
        </is>
      </c>
      <c r="F28" s="19" t="inlineStr">
        <is>
          <t>✅ Fixed</t>
        </is>
      </c>
    </row>
    <row r="29" ht="20" customHeight="1">
      <c r="A29" s="20" t="inlineStr">
        <is>
          <t>Cancelled orders</t>
        </is>
      </c>
      <c r="B29" s="20" t="inlineStr">
        <is>
          <t>Cancelled in order_status</t>
        </is>
      </c>
      <c r="C29" s="20" t="inlineStr">
        <is>
          <t>Exclude from revenue analysis</t>
        </is>
      </c>
      <c r="D29" s="20">
        <f>COUNTIF(F:F,"Cancelled") → filter</f>
        <v/>
      </c>
      <c r="E29" s="20" t="inlineStr">
        <is>
          <t>179 rows</t>
        </is>
      </c>
      <c r="F29" s="21" t="inlineStr">
        <is>
          <t>✅ Excluded</t>
        </is>
      </c>
    </row>
    <row r="30" ht="20" customHeight="1">
      <c r="A30" s="18" t="inlineStr">
        <is>
          <t>Profit column missing</t>
        </is>
      </c>
      <c r="B30" s="18" t="inlineStr">
        <is>
          <t>—</t>
        </is>
      </c>
      <c r="C30" s="18">
        <f>list_price - standard_cost</f>
        <v/>
      </c>
      <c r="D30" s="18">
        <f>K2-L2 in new column 'Profit'</f>
        <v/>
      </c>
      <c r="E30" s="18" t="inlineStr">
        <is>
          <t>All rows</t>
        </is>
      </c>
      <c r="F30" s="19" t="inlineStr">
        <is>
          <t>✅ Added</t>
        </is>
      </c>
    </row>
    <row r="32" ht="22" customHeight="1">
      <c r="A32" s="12" t="inlineStr">
        <is>
          <t>1.4  New Customer Data Cleaning</t>
        </is>
      </c>
    </row>
    <row r="33">
      <c r="A33" s="13" t="inlineStr">
        <is>
          <t>Issue Found</t>
        </is>
      </c>
      <c r="B33" s="13" t="inlineStr">
        <is>
          <t>Original Value(s)</t>
        </is>
      </c>
      <c r="C33" s="13" t="inlineStr">
        <is>
          <t>Corrected Value</t>
        </is>
      </c>
      <c r="D33" s="13" t="inlineStr">
        <is>
          <t>Excel Method</t>
        </is>
      </c>
      <c r="E33" s="13" t="inlineStr">
        <is>
          <t>Count</t>
        </is>
      </c>
      <c r="F33" s="13" t="inlineStr">
        <is>
          <t>Status</t>
        </is>
      </c>
    </row>
    <row r="34" ht="20" customHeight="1">
      <c r="A34" s="18" t="inlineStr">
        <is>
          <t>Extra unnamed columns (16–20)</t>
        </is>
      </c>
      <c r="B34" s="18" t="inlineStr">
        <is>
          <t>Unnamed: 16 to 20</t>
        </is>
      </c>
      <c r="C34" s="18" t="inlineStr">
        <is>
          <t>Remove columns</t>
        </is>
      </c>
      <c r="D34" s="18" t="inlineStr">
        <is>
          <t>Select columns → Right-click → Delete</t>
        </is>
      </c>
      <c r="E34" s="18" t="inlineStr">
        <is>
          <t>5 columns</t>
        </is>
      </c>
      <c r="F34" s="19" t="inlineStr">
        <is>
          <t>✅ Fixed</t>
        </is>
      </c>
    </row>
    <row r="35" ht="20" customHeight="1">
      <c r="A35" s="20" t="inlineStr">
        <is>
          <t>Gender 'U' (Unknown)</t>
        </is>
      </c>
      <c r="B35" s="20" t="inlineStr">
        <is>
          <t>U</t>
        </is>
      </c>
      <c r="C35" s="20" t="inlineStr">
        <is>
          <t>Unspecified</t>
        </is>
      </c>
      <c r="D35" s="20" t="inlineStr">
        <is>
          <t>Find &amp; Replace in gender column</t>
        </is>
      </c>
      <c r="E35" s="20" t="inlineStr">
        <is>
          <t>Few rows</t>
        </is>
      </c>
      <c r="F35" s="21" t="inlineStr">
        <is>
          <t>✅ Fixed</t>
        </is>
      </c>
    </row>
    <row r="36" ht="20" customHeight="1">
      <c r="A36" s="18" t="inlineStr">
        <is>
          <t>DOB inconsistent format</t>
        </is>
      </c>
      <c r="B36" s="18" t="inlineStr">
        <is>
          <t>Mixed datetime strings</t>
        </is>
      </c>
      <c r="C36" s="18">
        <f>DATEVALUE() or format as Date</f>
        <v/>
      </c>
      <c r="D36" s="18" t="inlineStr">
        <is>
          <t>Format → Date → DD/MM/YYYY</t>
        </is>
      </c>
      <c r="E36" s="18" t="inlineStr">
        <is>
          <t>All rows</t>
        </is>
      </c>
      <c r="F36" s="19" t="inlineStr">
        <is>
          <t>✅ Fixed</t>
        </is>
      </c>
    </row>
    <row r="37" ht="20" customHeight="1">
      <c r="A37" s="20" t="inlineStr">
        <is>
          <t>Address not standardised</t>
        </is>
      </c>
      <c r="B37" s="20" t="inlineStr">
        <is>
          <t>Varies</t>
        </is>
      </c>
      <c r="C37" s="20" t="inlineStr">
        <is>
          <t>Proper Case using PROPER()</t>
        </is>
      </c>
      <c r="D37" s="20">
        <f>PROPER(L2) in helper column</f>
        <v/>
      </c>
      <c r="E37" s="20" t="inlineStr">
        <is>
          <t>All rows</t>
        </is>
      </c>
      <c r="F37" s="21" t="inlineStr">
        <is>
          <t>✅ Fixed</t>
        </is>
      </c>
    </row>
    <row r="38" ht="20" customHeight="1">
      <c r="A38" s="18" t="inlineStr">
        <is>
          <t>job_industry_category blanks</t>
        </is>
      </c>
      <c r="B38" s="18" t="inlineStr">
        <is>
          <t>(blank)</t>
        </is>
      </c>
      <c r="C38" s="18" t="inlineStr">
        <is>
          <t>Unknown</t>
        </is>
      </c>
      <c r="D38" s="18">
        <f>IF(G2="","Unknown",G2)</f>
        <v/>
      </c>
      <c r="E38" s="18" t="inlineStr">
        <is>
          <t>Some rows</t>
        </is>
      </c>
      <c r="F38" s="19" t="inlineStr">
        <is>
          <t>✅ Fixed</t>
        </is>
      </c>
    </row>
  </sheetData>
  <mergeCells count="6">
    <mergeCell ref="A24:F24"/>
    <mergeCell ref="A2:F2"/>
    <mergeCell ref="A1:F1"/>
    <mergeCell ref="A32:F32"/>
    <mergeCell ref="A12:F1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18" customWidth="1" min="7" max="7"/>
  </cols>
  <sheetData>
    <row r="1" ht="35" customHeight="1">
      <c r="A1" s="10" t="inlineStr">
        <is>
          <t>TASK 2: CUSTOMER SEGMENTATION</t>
        </is>
      </c>
    </row>
    <row r="2" ht="20" customHeight="1">
      <c r="A2" s="22" t="inlineStr">
        <is>
          <t>Objective: Segment existing customers by Wealth Segment, Gender, and Job Industry to identify key groups.</t>
        </is>
      </c>
    </row>
    <row r="4" ht="22" customHeight="1">
      <c r="A4" s="12" t="inlineStr">
        <is>
          <t>2.1  Segmentation by Wealth Segment</t>
        </is>
      </c>
    </row>
    <row r="5" ht="50" customHeight="1">
      <c r="A5" s="23" t="inlineStr">
        <is>
          <t>Excel Formulas Used:
Count: =COUNTIF(CustomerDemographic[wealth_segment],"Mass Customer")
Avg Tenure: =AVERAGEIF(CustomerDemographic[wealth_segment],A7,CustomerDemographic[tenure])
Or use: Insert → PivotTable → Rows=wealth_segment, Values=Count of customer_id, Average of tenure</t>
        </is>
      </c>
    </row>
    <row r="6" ht="18" customHeight="1">
      <c r="A6" s="13" t="inlineStr">
        <is>
          <t>Wealth Segment</t>
        </is>
      </c>
      <c r="B6" s="13" t="inlineStr">
        <is>
          <t>No. of Customers</t>
        </is>
      </c>
      <c r="C6" s="13" t="inlineStr">
        <is>
          <t>% of Total</t>
        </is>
      </c>
      <c r="D6" s="13" t="inlineStr">
        <is>
          <t>Avg Tenure (Yrs)</t>
        </is>
      </c>
      <c r="E6" s="13" t="inlineStr">
        <is>
          <t>Insight</t>
        </is>
      </c>
    </row>
    <row r="7">
      <c r="A7" s="14" t="inlineStr">
        <is>
          <t>Mass Customer</t>
        </is>
      </c>
      <c r="B7" s="24" t="n">
        <v>1999</v>
      </c>
      <c r="C7" s="24" t="inlineStr">
        <is>
          <t>50.4%</t>
        </is>
      </c>
      <c r="D7" s="25" t="n">
        <v>10.68</v>
      </c>
      <c r="E7" s="24" t="inlineStr">
        <is>
          <t>Largest group — high volume, moderate value</t>
        </is>
      </c>
    </row>
    <row r="8">
      <c r="A8" s="26" t="inlineStr">
        <is>
          <t>Affluent Customer</t>
        </is>
      </c>
      <c r="B8" s="27" t="n">
        <v>978</v>
      </c>
      <c r="C8" s="27" t="inlineStr">
        <is>
          <t>24.7%</t>
        </is>
      </c>
      <c r="D8" s="28" t="n">
        <v>10.52</v>
      </c>
      <c r="E8" s="27" t="inlineStr">
        <is>
          <t>Mid-tier — good revenue potential</t>
        </is>
      </c>
    </row>
    <row r="9">
      <c r="A9" s="14" t="inlineStr">
        <is>
          <t>High Net Worth</t>
        </is>
      </c>
      <c r="B9" s="24" t="n">
        <v>1021</v>
      </c>
      <c r="C9" s="24" t="inlineStr">
        <is>
          <t>25.8%</t>
        </is>
      </c>
      <c r="D9" s="25" t="n">
        <v>10.74</v>
      </c>
      <c r="E9" s="24" t="inlineStr">
        <is>
          <t>Premium segment — highest individual value</t>
        </is>
      </c>
    </row>
    <row r="10">
      <c r="A10" s="29" t="inlineStr">
        <is>
          <t>TOTAL</t>
        </is>
      </c>
      <c r="B10" s="30" t="n">
        <v>3998</v>
      </c>
      <c r="C10" s="30" t="inlineStr">
        <is>
          <t>100.0%</t>
        </is>
      </c>
      <c r="D10" s="31" t="n">
        <v>10.65</v>
      </c>
      <c r="E10" s="30" t="inlineStr">
        <is>
          <t>All active (non-deceased) customers</t>
        </is>
      </c>
    </row>
    <row r="12" ht="35" customHeight="1">
      <c r="A12" s="32" t="inlineStr">
        <is>
          <t>📊 Key Insight: Mass Customers form 50% of the base. Despite being the largest group, High Net Worth customers have similar tenure, suggesting loyalty. Targeting Affluent Customers for upselling could yield strong ROI.</t>
        </is>
      </c>
    </row>
    <row r="14" ht="22" customHeight="1">
      <c r="A14" s="12" t="inlineStr">
        <is>
          <t>2.2  Segmentation by Gender</t>
        </is>
      </c>
    </row>
    <row r="15" ht="40" customHeight="1">
      <c r="A15" s="23" t="inlineStr">
        <is>
          <t>Excel Formulas:
Count by Gender: =COUNTIF(CustomerDemographic[gender_clean],"Female")
Avg Bike Purchases: =AVERAGEIF(CustomerDemographic[gender_clean],"Female",CustomerDemographic[past_3_years_bike_related_purchases])</t>
        </is>
      </c>
    </row>
    <row r="16" ht="18" customHeight="1">
      <c r="A16" s="13" t="inlineStr">
        <is>
          <t>Gender</t>
        </is>
      </c>
      <c r="B16" s="13" t="inlineStr">
        <is>
          <t>No. of Customers</t>
        </is>
      </c>
      <c r="C16" s="13" t="inlineStr">
        <is>
          <t>% of Total</t>
        </is>
      </c>
      <c r="D16" s="13" t="inlineStr">
        <is>
          <t>Avg Bike Purchases (3yr)</t>
        </is>
      </c>
      <c r="E16" s="13" t="inlineStr">
        <is>
          <t>Insight</t>
        </is>
      </c>
    </row>
    <row r="17">
      <c r="A17" s="14" t="inlineStr">
        <is>
          <t>Female</t>
        </is>
      </c>
      <c r="B17" s="24" t="n">
        <v>2038</v>
      </c>
      <c r="C17" s="24" t="inlineStr">
        <is>
          <t>51.4%</t>
        </is>
      </c>
      <c r="D17" s="24" t="n">
        <v>48.22</v>
      </c>
      <c r="E17" s="24" t="inlineStr">
        <is>
          <t>Slight majority; similar purchase rate to Male</t>
        </is>
      </c>
    </row>
    <row r="18">
      <c r="A18" s="26" t="inlineStr">
        <is>
          <t>Male</t>
        </is>
      </c>
      <c r="B18" s="27" t="n">
        <v>1872</v>
      </c>
      <c r="C18" s="27" t="inlineStr">
        <is>
          <t>47.2%</t>
        </is>
      </c>
      <c r="D18" s="27" t="n">
        <v>49.89</v>
      </c>
      <c r="E18" s="27" t="inlineStr">
        <is>
          <t>Marginally higher bike purchase frequency</t>
        </is>
      </c>
    </row>
    <row r="19">
      <c r="A19" s="14" t="inlineStr">
        <is>
          <t>Unspecified</t>
        </is>
      </c>
      <c r="B19" s="24" t="n">
        <v>88</v>
      </c>
      <c r="C19" s="24" t="inlineStr">
        <is>
          <t>2.2%</t>
        </is>
      </c>
      <c r="D19" s="24" t="n">
        <v>42.25</v>
      </c>
      <c r="E19" s="24" t="inlineStr">
        <is>
          <t>Small group; lower engagement — monitor</t>
        </is>
      </c>
    </row>
    <row r="20">
      <c r="A20" s="29" t="inlineStr">
        <is>
          <t>TOTAL</t>
        </is>
      </c>
      <c r="B20" s="30" t="n">
        <v>3998</v>
      </c>
      <c r="C20" s="30" t="inlineStr">
        <is>
          <t>100.0%</t>
        </is>
      </c>
      <c r="D20" s="30" t="n">
        <v>48.7</v>
      </c>
      <c r="E20" s="30" t="inlineStr">
        <is>
          <t>All active customers</t>
        </is>
      </c>
    </row>
    <row r="22" ht="35" customHeight="1">
      <c r="A22" s="32" t="inlineStr">
        <is>
          <t>📊 Key Insight: Gender split is nearly equal (51F/47M). Males make slightly more bike purchases. Marketing can be gender-neutral with minor tilt toward male-focused bike promotions.</t>
        </is>
      </c>
    </row>
    <row r="24" ht="22" customHeight="1">
      <c r="A24" s="12" t="inlineStr">
        <is>
          <t>2.3  Segmentation by Job Industry</t>
        </is>
      </c>
    </row>
    <row r="25" ht="40" customHeight="1">
      <c r="A25" s="23" t="inlineStr">
        <is>
          <t>Excel Formulas:
Count by Industry: =COUNTIF(CustomerDemographic[job_industry_category],"Manufacturing")
Wealth within Industry: =COUNTIFS(CustomerDemographic[job_industry_category],"Manufacturing",CustomerDemographic[wealth_segment],"Mass Customer")</t>
        </is>
      </c>
    </row>
    <row r="26" ht="18" customHeight="1">
      <c r="A26" s="13" t="inlineStr">
        <is>
          <t>Industry</t>
        </is>
      </c>
      <c r="B26" s="13" t="inlineStr">
        <is>
          <t>Total Customers</t>
        </is>
      </c>
      <c r="C26" s="13" t="inlineStr">
        <is>
          <t>Mass Customer</t>
        </is>
      </c>
      <c r="D26" s="13" t="inlineStr">
        <is>
          <t>Affluent Customer</t>
        </is>
      </c>
      <c r="E26" s="13" t="inlineStr">
        <is>
          <t>High Net Worth</t>
        </is>
      </c>
      <c r="F26" s="13" t="inlineStr">
        <is>
          <t>% of Base</t>
        </is>
      </c>
      <c r="G26" s="13" t="inlineStr">
        <is>
          <t>Dominant Segment</t>
        </is>
      </c>
    </row>
    <row r="27">
      <c r="A27" s="14" t="inlineStr">
        <is>
          <t>Manufacturing</t>
        </is>
      </c>
      <c r="B27" s="24" t="n">
        <v>799</v>
      </c>
      <c r="C27" s="24" t="n">
        <v>405</v>
      </c>
      <c r="D27" s="24" t="n">
        <v>199</v>
      </c>
      <c r="E27" s="24" t="n">
        <v>195</v>
      </c>
      <c r="F27" s="33" t="n">
        <v>20</v>
      </c>
      <c r="G27" s="24" t="inlineStr">
        <is>
          <t>Mass Customer</t>
        </is>
      </c>
    </row>
    <row r="28">
      <c r="A28" s="26" t="inlineStr">
        <is>
          <t>Financial Services</t>
        </is>
      </c>
      <c r="B28" s="27" t="n">
        <v>774</v>
      </c>
      <c r="C28" s="27" t="n">
        <v>393</v>
      </c>
      <c r="D28" s="27" t="n">
        <v>193</v>
      </c>
      <c r="E28" s="27" t="n">
        <v>188</v>
      </c>
      <c r="F28" s="34" t="n">
        <v>19.4</v>
      </c>
      <c r="G28" s="27" t="inlineStr">
        <is>
          <t>Mass Customer</t>
        </is>
      </c>
    </row>
    <row r="29">
      <c r="A29" s="14" t="inlineStr">
        <is>
          <t>Health</t>
        </is>
      </c>
      <c r="B29" s="24" t="n">
        <v>601</v>
      </c>
      <c r="C29" s="24" t="n">
        <v>303</v>
      </c>
      <c r="D29" s="24" t="n">
        <v>148</v>
      </c>
      <c r="E29" s="24" t="n">
        <v>150</v>
      </c>
      <c r="F29" s="33" t="n">
        <v>15</v>
      </c>
      <c r="G29" s="24" t="inlineStr">
        <is>
          <t>Mass Customer</t>
        </is>
      </c>
    </row>
    <row r="30">
      <c r="A30" s="26" t="inlineStr">
        <is>
          <t>Retail</t>
        </is>
      </c>
      <c r="B30" s="27" t="n">
        <v>357</v>
      </c>
      <c r="C30" s="27" t="n">
        <v>182</v>
      </c>
      <c r="D30" s="27" t="n">
        <v>89</v>
      </c>
      <c r="E30" s="27" t="n">
        <v>86</v>
      </c>
      <c r="F30" s="34" t="n">
        <v>8.9</v>
      </c>
      <c r="G30" s="27" t="inlineStr">
        <is>
          <t>Mass Customer</t>
        </is>
      </c>
    </row>
    <row r="31">
      <c r="A31" s="14" t="inlineStr">
        <is>
          <t>Property</t>
        </is>
      </c>
      <c r="B31" s="24" t="n">
        <v>267</v>
      </c>
      <c r="C31" s="24" t="n">
        <v>135</v>
      </c>
      <c r="D31" s="24" t="n">
        <v>68</v>
      </c>
      <c r="E31" s="24" t="n">
        <v>64</v>
      </c>
      <c r="F31" s="33" t="n">
        <v>6.7</v>
      </c>
      <c r="G31" s="24" t="inlineStr">
        <is>
          <t>Mass Customer</t>
        </is>
      </c>
    </row>
    <row r="32">
      <c r="A32" s="26" t="inlineStr">
        <is>
          <t>IT</t>
        </is>
      </c>
      <c r="B32" s="27" t="n">
        <v>223</v>
      </c>
      <c r="C32" s="27" t="n">
        <v>112</v>
      </c>
      <c r="D32" s="27" t="n">
        <v>57</v>
      </c>
      <c r="E32" s="27" t="n">
        <v>54</v>
      </c>
      <c r="F32" s="34" t="n">
        <v>5.6</v>
      </c>
      <c r="G32" s="27" t="inlineStr">
        <is>
          <t>Mass Customer</t>
        </is>
      </c>
    </row>
    <row r="33">
      <c r="A33" s="14" t="inlineStr">
        <is>
          <t>Entertainment</t>
        </is>
      </c>
      <c r="B33" s="24" t="n">
        <v>136</v>
      </c>
      <c r="C33" s="24" t="n">
        <v>70</v>
      </c>
      <c r="D33" s="24" t="n">
        <v>34</v>
      </c>
      <c r="E33" s="24" t="n">
        <v>32</v>
      </c>
      <c r="F33" s="33" t="n">
        <v>3.4</v>
      </c>
      <c r="G33" s="24" t="inlineStr">
        <is>
          <t>Mass Customer</t>
        </is>
      </c>
    </row>
    <row r="34">
      <c r="A34" s="26" t="inlineStr">
        <is>
          <t>Agriculture</t>
        </is>
      </c>
      <c r="B34" s="27" t="n">
        <v>113</v>
      </c>
      <c r="C34" s="27" t="n">
        <v>58</v>
      </c>
      <c r="D34" s="27" t="n">
        <v>29</v>
      </c>
      <c r="E34" s="27" t="n">
        <v>26</v>
      </c>
      <c r="F34" s="34" t="n">
        <v>2.8</v>
      </c>
      <c r="G34" s="27" t="inlineStr">
        <is>
          <t>Mass Customer</t>
        </is>
      </c>
    </row>
    <row r="35">
      <c r="A35" s="14" t="inlineStr">
        <is>
          <t>Telecommunications</t>
        </is>
      </c>
      <c r="B35" s="24" t="n">
        <v>72</v>
      </c>
      <c r="C35" s="24" t="n">
        <v>37</v>
      </c>
      <c r="D35" s="24" t="n">
        <v>18</v>
      </c>
      <c r="E35" s="24" t="n">
        <v>17</v>
      </c>
      <c r="F35" s="33" t="n">
        <v>1.8</v>
      </c>
      <c r="G35" s="24" t="inlineStr">
        <is>
          <t>Mass Customer</t>
        </is>
      </c>
    </row>
    <row r="36">
      <c r="A36" s="26" t="inlineStr">
        <is>
          <t>Unknown</t>
        </is>
      </c>
      <c r="B36" s="27" t="n">
        <v>656</v>
      </c>
      <c r="C36" s="27" t="n">
        <v>304</v>
      </c>
      <c r="D36" s="27" t="n">
        <v>141</v>
      </c>
      <c r="E36" s="27" t="n">
        <v>211</v>
      </c>
      <c r="F36" s="34" t="n">
        <v>16.4</v>
      </c>
      <c r="G36" s="27" t="inlineStr">
        <is>
          <t>Mass Customer</t>
        </is>
      </c>
    </row>
  </sheetData>
  <mergeCells count="10">
    <mergeCell ref="A14:G14"/>
    <mergeCell ref="A1:G1"/>
    <mergeCell ref="A22:G22"/>
    <mergeCell ref="A12:G12"/>
    <mergeCell ref="A4:G4"/>
    <mergeCell ref="A24:G24"/>
    <mergeCell ref="A2:G2"/>
    <mergeCell ref="A15:G15"/>
    <mergeCell ref="A25:G25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 ht="35" customHeight="1">
      <c r="A1" s="10" t="inlineStr">
        <is>
          <t>TASK 3: TRANSACTION ANALYSIS</t>
        </is>
      </c>
    </row>
    <row r="2" ht="20" customHeight="1">
      <c r="A2" s="35" t="inlineStr">
        <is>
          <t>Objective: Analyse transaction data to identify sales trends, product performance, and customer purchase behaviour.</t>
        </is>
      </c>
    </row>
    <row r="4" ht="22" customHeight="1">
      <c r="A4" s="12" t="inlineStr">
        <is>
          <t>3.1  Monthly Sales Trend (Approved Orders Only, 2017)</t>
        </is>
      </c>
    </row>
    <row r="5" ht="60" customHeight="1">
      <c r="A5" s="23" t="inlineStr">
        <is>
          <t>Excel Formula (after adding Month column):
Month column: =TEXT(transaction_date,"MMM YYYY") or =MONTH(transaction_date)
Monthly Total: =SUMPRODUCT((MONTH(Transactions[transaction_date])=1)*(Transactions[order_status]="Approved")*Transactions[list_price])
Recommended Chart: Line Chart → Month on X-axis, Total Sales on Y-axis → shows trend clearly</t>
        </is>
      </c>
    </row>
    <row r="6" ht="18" customHeight="1">
      <c r="A6" s="13" t="inlineStr">
        <is>
          <t>Month</t>
        </is>
      </c>
      <c r="B6" s="13" t="inlineStr">
        <is>
          <t>Total Sales (AUD)</t>
        </is>
      </c>
      <c r="C6" s="13" t="inlineStr">
        <is>
          <t>MoM Change</t>
        </is>
      </c>
      <c r="D6" s="13" t="inlineStr">
        <is>
          <t>Running Total</t>
        </is>
      </c>
      <c r="E6" s="13" t="inlineStr">
        <is>
          <t>Trend</t>
        </is>
      </c>
      <c r="F6" s="13" t="inlineStr">
        <is>
          <t>Seasonal Note</t>
        </is>
      </c>
    </row>
    <row r="7">
      <c r="A7" s="14" t="inlineStr">
        <is>
          <t>January</t>
        </is>
      </c>
      <c r="B7" s="36" t="n">
        <v>1846812.04</v>
      </c>
      <c r="C7" s="24" t="inlineStr">
        <is>
          <t>—</t>
        </is>
      </c>
      <c r="D7" s="36" t="n">
        <v>1846812.04</v>
      </c>
      <c r="E7" s="24" t="inlineStr">
        <is>
          <t>—</t>
        </is>
      </c>
      <c r="F7" s="24" t="inlineStr"/>
    </row>
    <row r="8">
      <c r="A8" s="26" t="inlineStr">
        <is>
          <t>February</t>
        </is>
      </c>
      <c r="B8" s="37" t="n">
        <v>1793659.92</v>
      </c>
      <c r="C8" s="27" t="inlineStr">
        <is>
          <t>-2.9%</t>
        </is>
      </c>
      <c r="D8" s="37" t="n">
        <v>3640471.96</v>
      </c>
      <c r="E8" s="27" t="inlineStr">
        <is>
          <t>📉 Down</t>
        </is>
      </c>
      <c r="F8" s="27" t="inlineStr"/>
    </row>
    <row r="9">
      <c r="A9" s="14" t="inlineStr">
        <is>
          <t>March</t>
        </is>
      </c>
      <c r="B9" s="36" t="n">
        <v>1804421.68</v>
      </c>
      <c r="C9" s="24" t="inlineStr">
        <is>
          <t>+0.6%</t>
        </is>
      </c>
      <c r="D9" s="36" t="n">
        <v>5444893.64</v>
      </c>
      <c r="E9" s="24" t="inlineStr">
        <is>
          <t>📈 Up</t>
        </is>
      </c>
      <c r="F9" s="24" t="inlineStr"/>
    </row>
    <row r="10">
      <c r="A10" s="26" t="inlineStr">
        <is>
          <t>April</t>
        </is>
      </c>
      <c r="B10" s="37" t="n">
        <v>1821162.56</v>
      </c>
      <c r="C10" s="27" t="inlineStr">
        <is>
          <t>+0.9%</t>
        </is>
      </c>
      <c r="D10" s="37" t="n">
        <v>7266056.2</v>
      </c>
      <c r="E10" s="27" t="inlineStr">
        <is>
          <t>📈 Up</t>
        </is>
      </c>
      <c r="F10" s="27" t="inlineStr"/>
    </row>
    <row r="11">
      <c r="A11" s="14" t="inlineStr">
        <is>
          <t>May</t>
        </is>
      </c>
      <c r="B11" s="36" t="n">
        <v>1891692.07</v>
      </c>
      <c r="C11" s="24" t="inlineStr">
        <is>
          <t>+3.9%</t>
        </is>
      </c>
      <c r="D11" s="36" t="n">
        <v>9157748.27</v>
      </c>
      <c r="E11" s="24" t="inlineStr">
        <is>
          <t>📈 Up</t>
        </is>
      </c>
      <c r="F11" s="24" t="inlineStr"/>
    </row>
    <row r="12">
      <c r="A12" s="26" t="inlineStr">
        <is>
          <t>June</t>
        </is>
      </c>
      <c r="B12" s="37" t="n">
        <v>1736333.54</v>
      </c>
      <c r="C12" s="27" t="inlineStr">
        <is>
          <t>-8.2%</t>
        </is>
      </c>
      <c r="D12" s="37" t="n">
        <v>10894081.81</v>
      </c>
      <c r="E12" s="27" t="inlineStr">
        <is>
          <t>📉 Down</t>
        </is>
      </c>
      <c r="F12" s="27" t="inlineStr">
        <is>
          <t>Low month</t>
        </is>
      </c>
    </row>
    <row r="13">
      <c r="A13" s="14" t="inlineStr">
        <is>
          <t>July</t>
        </is>
      </c>
      <c r="B13" s="36" t="n">
        <v>1879357.66</v>
      </c>
      <c r="C13" s="24" t="inlineStr">
        <is>
          <t>+8.2%</t>
        </is>
      </c>
      <c r="D13" s="36" t="n">
        <v>12773439.47</v>
      </c>
      <c r="E13" s="24" t="inlineStr">
        <is>
          <t>📈 Up</t>
        </is>
      </c>
      <c r="F13" s="24" t="inlineStr"/>
    </row>
    <row r="14">
      <c r="A14" s="26" t="inlineStr">
        <is>
          <t>August</t>
        </is>
      </c>
      <c r="B14" s="37" t="n">
        <v>1918418.19</v>
      </c>
      <c r="C14" s="27" t="inlineStr">
        <is>
          <t>+2.1%</t>
        </is>
      </c>
      <c r="D14" s="37" t="n">
        <v>14691857.66</v>
      </c>
      <c r="E14" s="27" t="inlineStr">
        <is>
          <t>📈 Up</t>
        </is>
      </c>
      <c r="F14" s="27" t="inlineStr">
        <is>
          <t>Peak month</t>
        </is>
      </c>
    </row>
    <row r="15">
      <c r="A15" s="14" t="inlineStr">
        <is>
          <t>September</t>
        </is>
      </c>
      <c r="B15" s="36" t="n">
        <v>1728605.72</v>
      </c>
      <c r="C15" s="24" t="inlineStr">
        <is>
          <t>-9.9%</t>
        </is>
      </c>
      <c r="D15" s="36" t="n">
        <v>16420463.38</v>
      </c>
      <c r="E15" s="24" t="inlineStr">
        <is>
          <t>📉 Down</t>
        </is>
      </c>
      <c r="F15" s="24" t="inlineStr">
        <is>
          <t>Low month</t>
        </is>
      </c>
    </row>
    <row r="16">
      <c r="A16" s="26" t="inlineStr">
        <is>
          <t>October</t>
        </is>
      </c>
      <c r="B16" s="37" t="n">
        <v>1943183.27</v>
      </c>
      <c r="C16" s="27" t="inlineStr">
        <is>
          <t>+12.4%</t>
        </is>
      </c>
      <c r="D16" s="37" t="n">
        <v>18363646.65</v>
      </c>
      <c r="E16" s="27" t="inlineStr">
        <is>
          <t>📈 Up</t>
        </is>
      </c>
      <c r="F16" s="27" t="inlineStr">
        <is>
          <t>Peak month</t>
        </is>
      </c>
    </row>
    <row r="17">
      <c r="A17" s="14" t="inlineStr">
        <is>
          <t>November</t>
        </is>
      </c>
      <c r="B17" s="36" t="n">
        <v>1801565.62</v>
      </c>
      <c r="C17" s="24" t="inlineStr">
        <is>
          <t>-7.3%</t>
        </is>
      </c>
      <c r="D17" s="36" t="n">
        <v>20165212.27</v>
      </c>
      <c r="E17" s="24" t="inlineStr">
        <is>
          <t>📉 Down</t>
        </is>
      </c>
      <c r="F17" s="24" t="inlineStr"/>
    </row>
    <row r="18">
      <c r="A18" s="26" t="inlineStr">
        <is>
          <t>December</t>
        </is>
      </c>
      <c r="B18" s="37" t="n">
        <v>1788984.42</v>
      </c>
      <c r="C18" s="27" t="inlineStr">
        <is>
          <t>-0.7%</t>
        </is>
      </c>
      <c r="D18" s="37" t="n">
        <v>21954196.69</v>
      </c>
      <c r="E18" s="27" t="inlineStr">
        <is>
          <t>📉 Down</t>
        </is>
      </c>
      <c r="F18" s="27" t="inlineStr"/>
    </row>
    <row r="19">
      <c r="A19" s="29" t="inlineStr">
        <is>
          <t>ANNUAL TOTAL</t>
        </is>
      </c>
      <c r="B19" s="38" t="n">
        <v>21954196.69</v>
      </c>
      <c r="C19" s="30" t="inlineStr">
        <is>
          <t>—</t>
        </is>
      </c>
      <c r="D19" s="30" t="inlineStr">
        <is>
          <t>—</t>
        </is>
      </c>
      <c r="E19" s="30" t="inlineStr">
        <is>
          <t>—</t>
        </is>
      </c>
      <c r="F19" s="30" t="inlineStr">
        <is>
          <t>Strongest: Oct | Weakest: Sep</t>
        </is>
      </c>
    </row>
    <row r="43" ht="22" customHeight="1">
      <c r="A43" s="12" t="inlineStr">
        <is>
          <t>3.2  Product Performance Analysis</t>
        </is>
      </c>
    </row>
    <row r="44" ht="60" customHeight="1">
      <c r="A44" s="23" t="inlineStr">
        <is>
          <t>Excel Formulas:
Brand Sales: =SUMIF(Transactions[brand],"Solex",Transactions[list_price]) with COUNTIF filter for Approved status
Product Line: =SUMPRODUCT((Transactions[product_line]="Standard")*(Transactions[order_status]="Approved")*Transactions[list_price])
Avg List Price: =AVERAGEIFS(Transactions[list_price],Transactions[product_line],"Standard",Transactions[order_status],"Approved")</t>
        </is>
      </c>
    </row>
    <row r="45">
      <c r="A45" s="13" t="inlineStr">
        <is>
          <t>Sales by Brand</t>
        </is>
      </c>
      <c r="D45" s="13" t="inlineStr">
        <is>
          <t>Sales by Product Line</t>
        </is>
      </c>
    </row>
    <row r="46" ht="18" customHeight="1">
      <c r="A46" s="39" t="inlineStr">
        <is>
          <t>Brand</t>
        </is>
      </c>
      <c r="B46" s="39" t="inlineStr">
        <is>
          <t>Total Sales (AUD)</t>
        </is>
      </c>
      <c r="C46" s="39" t="inlineStr">
        <is>
          <t>% Share</t>
        </is>
      </c>
      <c r="D46" s="39" t="inlineStr">
        <is>
          <t>Product Line</t>
        </is>
      </c>
      <c r="E46" s="39" t="inlineStr">
        <is>
          <t>Total Sales</t>
        </is>
      </c>
      <c r="F46" s="39" t="inlineStr">
        <is>
          <t>Avg List Price</t>
        </is>
      </c>
      <c r="G46" s="39" t="inlineStr">
        <is>
          <t># Transactions</t>
        </is>
      </c>
    </row>
    <row r="47">
      <c r="A47" s="14" t="inlineStr">
        <is>
          <t>Solex</t>
        </is>
      </c>
      <c r="B47" s="36" t="n">
        <v>4446888.35</v>
      </c>
      <c r="C47" s="33" t="n">
        <v>20.3</v>
      </c>
      <c r="D47" s="14" t="inlineStr">
        <is>
          <t>Standard</t>
        </is>
      </c>
      <c r="E47" s="36" t="n">
        <v>15488718.86</v>
      </c>
      <c r="F47" s="36" t="n">
        <v>1102.56</v>
      </c>
      <c r="G47" s="24" t="n">
        <v>14048</v>
      </c>
    </row>
    <row r="48">
      <c r="A48" s="26" t="inlineStr">
        <is>
          <t>WeareA2B</t>
        </is>
      </c>
      <c r="B48" s="37" t="n">
        <v>4126372.83</v>
      </c>
      <c r="C48" s="34" t="n">
        <v>18.8</v>
      </c>
      <c r="D48" s="26" t="inlineStr">
        <is>
          <t>Road</t>
        </is>
      </c>
      <c r="E48" s="37" t="n">
        <v>4002503.36</v>
      </c>
      <c r="F48" s="37" t="n">
        <v>1017.93</v>
      </c>
      <c r="G48" s="27" t="n">
        <v>3932</v>
      </c>
    </row>
    <row r="49">
      <c r="A49" s="14" t="inlineStr">
        <is>
          <t>Giant Bicycles</t>
        </is>
      </c>
      <c r="B49" s="36" t="n">
        <v>4055613.05</v>
      </c>
      <c r="C49" s="33" t="n">
        <v>18.5</v>
      </c>
      <c r="D49" s="14" t="inlineStr">
        <is>
          <t>Touring</t>
        </is>
      </c>
      <c r="E49" s="36" t="n">
        <v>1984354.25</v>
      </c>
      <c r="F49" s="36" t="n">
        <v>1619.88</v>
      </c>
      <c r="G49" s="24" t="n">
        <v>1225</v>
      </c>
    </row>
    <row r="50">
      <c r="A50" s="26" t="inlineStr">
        <is>
          <t>Trek Bicycles</t>
        </is>
      </c>
      <c r="B50" s="37" t="n">
        <v>3512223.81</v>
      </c>
      <c r="C50" s="34" t="n">
        <v>16</v>
      </c>
      <c r="D50" s="26" t="inlineStr">
        <is>
          <t>Mountain</t>
        </is>
      </c>
      <c r="E50" s="37" t="n">
        <v>263918.82</v>
      </c>
      <c r="F50" s="37" t="n">
        <v>628.38</v>
      </c>
      <c r="G50" s="27" t="n">
        <v>420</v>
      </c>
    </row>
    <row r="51">
      <c r="A51" s="14" t="inlineStr">
        <is>
          <t>OHM Cycles</t>
        </is>
      </c>
      <c r="B51" s="36" t="n">
        <v>2965459.8</v>
      </c>
      <c r="C51" s="33" t="n">
        <v>13.5</v>
      </c>
    </row>
    <row r="52">
      <c r="A52" s="26" t="inlineStr">
        <is>
          <t>Norco Bicycles</t>
        </is>
      </c>
      <c r="B52" s="37" t="n">
        <v>2632937.45</v>
      </c>
      <c r="C52" s="34" t="n">
        <v>12</v>
      </c>
    </row>
    <row r="55" ht="22" customHeight="1">
      <c r="A55" s="12" t="inlineStr">
        <is>
          <t>3.3  Customer Purchase Behaviour — Top 10 Customers</t>
        </is>
      </c>
    </row>
    <row r="56" ht="40" customHeight="1">
      <c r="A56" s="23" t="inlineStr">
        <is>
          <t>Excel Formula:
Total per Customer: =SUMIF(Transactions[customer_id],customer_id,Transactions[list_price])
Then SORT by Total Revenue DESC and take top 10 | Avg purchases per customer: =COUNTA(transaction_id)/COUNTA(UNIQUE(customer_id))</t>
        </is>
      </c>
    </row>
    <row r="57" ht="18" customHeight="1">
      <c r="A57" s="13" t="inlineStr">
        <is>
          <t>Rank</t>
        </is>
      </c>
      <c r="B57" s="13" t="inlineStr">
        <is>
          <t>Customer ID</t>
        </is>
      </c>
      <c r="C57" s="13" t="inlineStr">
        <is>
          <t>Total Revenue (AUD)</t>
        </is>
      </c>
      <c r="D57" s="13" t="inlineStr">
        <is>
          <t>Note</t>
        </is>
      </c>
    </row>
    <row r="58">
      <c r="A58" s="40" t="n">
        <v>1</v>
      </c>
      <c r="B58" s="40" t="n">
        <v>2183</v>
      </c>
      <c r="C58" s="41" t="n">
        <v>19071.32</v>
      </c>
      <c r="D58" s="42" t="inlineStr">
        <is>
          <t>🥇 Top Customer</t>
        </is>
      </c>
    </row>
    <row r="59">
      <c r="A59" s="43" t="n">
        <v>2</v>
      </c>
      <c r="B59" s="43" t="n">
        <v>1129</v>
      </c>
      <c r="C59" s="44" t="n">
        <v>18349.27</v>
      </c>
      <c r="D59" s="45" t="inlineStr">
        <is>
          <t>🥈 2nd</t>
        </is>
      </c>
    </row>
    <row r="60">
      <c r="A60" s="46" t="n">
        <v>3</v>
      </c>
      <c r="B60" s="46" t="n">
        <v>1597</v>
      </c>
      <c r="C60" s="47" t="n">
        <v>18052.68</v>
      </c>
      <c r="D60" s="48" t="inlineStr">
        <is>
          <t>🥉 3rd</t>
        </is>
      </c>
    </row>
    <row r="61">
      <c r="A61" s="27" t="n">
        <v>4</v>
      </c>
      <c r="B61" s="27" t="n">
        <v>941</v>
      </c>
      <c r="C61" s="37" t="n">
        <v>17898.46</v>
      </c>
      <c r="D61" s="26" t="inlineStr"/>
    </row>
    <row r="62">
      <c r="A62" s="24" t="n">
        <v>5</v>
      </c>
      <c r="B62" s="24" t="n">
        <v>2788</v>
      </c>
      <c r="C62" s="36" t="n">
        <v>17258.94</v>
      </c>
      <c r="D62" s="14" t="inlineStr"/>
    </row>
    <row r="63">
      <c r="A63" s="27" t="n">
        <v>6</v>
      </c>
      <c r="B63" s="27" t="n">
        <v>936</v>
      </c>
      <c r="C63" s="37" t="n">
        <v>17160.24</v>
      </c>
      <c r="D63" s="26" t="inlineStr"/>
    </row>
    <row r="64">
      <c r="A64" s="24" t="n">
        <v>7</v>
      </c>
      <c r="B64" s="24" t="n">
        <v>1302</v>
      </c>
      <c r="C64" s="36" t="n">
        <v>17035.83</v>
      </c>
      <c r="D64" s="14" t="inlineStr"/>
    </row>
    <row r="65">
      <c r="A65" s="27" t="n">
        <v>8</v>
      </c>
      <c r="B65" s="27" t="n">
        <v>1140</v>
      </c>
      <c r="C65" s="37" t="n">
        <v>16199.24</v>
      </c>
      <c r="D65" s="26" t="inlineStr"/>
    </row>
    <row r="66">
      <c r="A66" s="24" t="n">
        <v>9</v>
      </c>
      <c r="B66" s="24" t="n">
        <v>2309</v>
      </c>
      <c r="C66" s="36" t="n">
        <v>16122.34</v>
      </c>
      <c r="D66" s="14" t="inlineStr"/>
    </row>
    <row r="67">
      <c r="A67" s="27" t="n">
        <v>10</v>
      </c>
      <c r="B67" s="27" t="n">
        <v>729</v>
      </c>
      <c r="C67" s="37" t="n">
        <v>15826</v>
      </c>
      <c r="D67" s="26" t="inlineStr"/>
    </row>
    <row r="69" ht="22" customHeight="1">
      <c r="A69" s="49" t="inlineStr">
        <is>
          <t>Average Purchases per Customer: 5.67 transactions   |   Total Approved Transactions: 19,821   |   Unique Customers Transacting: 3,494</t>
        </is>
      </c>
    </row>
  </sheetData>
  <mergeCells count="11">
    <mergeCell ref="A44:G44"/>
    <mergeCell ref="A1:G1"/>
    <mergeCell ref="D45:G45"/>
    <mergeCell ref="A45:C45"/>
    <mergeCell ref="A56:G56"/>
    <mergeCell ref="A55:G55"/>
    <mergeCell ref="A69:G69"/>
    <mergeCell ref="A4:G4"/>
    <mergeCell ref="A2:G2"/>
    <mergeCell ref="A43:G43"/>
    <mergeCell ref="A5:G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5" customHeight="1">
      <c r="A1" s="10" t="inlineStr">
        <is>
          <t>TASK 4: NEW CUSTOMER INSIGHTS</t>
        </is>
      </c>
    </row>
    <row r="2" ht="20" customHeight="1">
      <c r="A2" s="35" t="inlineStr">
        <is>
          <t>Objective: Analyse the 1,000-record new customer dataset to understand demographics, location, and revenue potential.</t>
        </is>
      </c>
    </row>
    <row r="4" ht="22" customHeight="1">
      <c r="A4" s="12" t="inlineStr">
        <is>
          <t>4.1  New Customer Demographics</t>
        </is>
      </c>
    </row>
    <row r="5" ht="50" customHeight="1">
      <c r="A5" s="23" t="inlineStr">
        <is>
          <t>Excel Formulas:
Wealth count: =COUNTIF(NewCustomerList[wealth_segment],"Mass Customer")
Avg bike purchases: =AVERAGE(NewCustomerList[past_3_years_bike_related_purchases])
Industry count: =COUNTIF(NewCustomerList[job_industry_category],"Manufacturing")</t>
        </is>
      </c>
    </row>
    <row r="6">
      <c r="A6" s="13" t="inlineStr">
        <is>
          <t>By Wealth Segment</t>
        </is>
      </c>
      <c r="E6" s="13" t="inlineStr">
        <is>
          <t>By Industry Category (Top 5)</t>
        </is>
      </c>
    </row>
    <row r="7" ht="18" customHeight="1">
      <c r="A7" s="39" t="inlineStr">
        <is>
          <t>Wealth Segment</t>
        </is>
      </c>
      <c r="B7" s="39" t="inlineStr">
        <is>
          <t>Count</t>
        </is>
      </c>
      <c r="C7" s="39" t="inlineStr">
        <is>
          <t>% Share</t>
        </is>
      </c>
      <c r="E7" s="39" t="inlineStr">
        <is>
          <t>Industry</t>
        </is>
      </c>
      <c r="F7" s="39" t="inlineStr">
        <is>
          <t>Count</t>
        </is>
      </c>
      <c r="G7" s="39" t="inlineStr">
        <is>
          <t>% Share</t>
        </is>
      </c>
    </row>
    <row r="8">
      <c r="A8" s="14" t="inlineStr">
        <is>
          <t>Mass Customer</t>
        </is>
      </c>
      <c r="B8" s="24" t="n">
        <v>508</v>
      </c>
      <c r="C8" s="24" t="n">
        <v>50.8</v>
      </c>
      <c r="E8" s="14" t="inlineStr">
        <is>
          <t>Manufacturing</t>
        </is>
      </c>
      <c r="F8" s="24" t="n">
        <v>-201</v>
      </c>
      <c r="G8" s="24" t="n">
        <v>20</v>
      </c>
    </row>
    <row r="9">
      <c r="A9" s="26" t="inlineStr">
        <is>
          <t>Affluent Customer</t>
        </is>
      </c>
      <c r="B9" s="27" t="n">
        <v>241</v>
      </c>
      <c r="C9" s="27" t="n">
        <v>24.1</v>
      </c>
      <c r="E9" s="26" t="inlineStr">
        <is>
          <t>Financial Services</t>
        </is>
      </c>
      <c r="F9" s="27" t="n">
        <v>-191</v>
      </c>
      <c r="G9" s="27" t="n">
        <v>19</v>
      </c>
    </row>
    <row r="10">
      <c r="A10" s="14" t="inlineStr">
        <is>
          <t>High Net Worth</t>
        </is>
      </c>
      <c r="B10" s="24" t="n">
        <v>251</v>
      </c>
      <c r="C10" s="24" t="n">
        <v>25.1</v>
      </c>
      <c r="E10" s="14" t="inlineStr">
        <is>
          <t>Health</t>
        </is>
      </c>
      <c r="F10" s="24" t="n">
        <v>-151</v>
      </c>
      <c r="G10" s="24" t="n">
        <v>15</v>
      </c>
    </row>
    <row r="12" ht="22" customHeight="1">
      <c r="A12" s="49" t="inlineStr">
        <is>
          <t>Average Past 3-Year Bike Purchases (New Customers): 49.84  |  Total New Customers: 1,000</t>
        </is>
      </c>
    </row>
    <row r="14" ht="22" customHeight="1">
      <c r="A14" s="12" t="inlineStr">
        <is>
          <t>4.2  New Customer Location Analysis</t>
        </is>
      </c>
    </row>
    <row r="15" ht="50" customHeight="1">
      <c r="A15" s="23" t="inlineStr">
        <is>
          <t>Excel Formulas:
State count: =COUNTIF(NewCustomerList[state],"NSW")
Avg property by wealth: =AVERAGEIF(NewCustomerList[wealth_segment],"Mass Customer",NewCustomerList[property_valuation])
Chart: Insert → Column Chart → State on X-axis, Count on Y-axis</t>
        </is>
      </c>
    </row>
    <row r="16">
      <c r="A16" s="13" t="inlineStr">
        <is>
          <t>Distribution by State</t>
        </is>
      </c>
      <c r="E16" s="13" t="inlineStr">
        <is>
          <t>Avg Property Valuation by Wealth Segment</t>
        </is>
      </c>
    </row>
    <row r="17" ht="18" customHeight="1">
      <c r="A17" s="39" t="inlineStr">
        <is>
          <t>State</t>
        </is>
      </c>
      <c r="B17" s="39" t="inlineStr">
        <is>
          <t>No. of Customers</t>
        </is>
      </c>
      <c r="C17" s="39" t="inlineStr">
        <is>
          <t>% Share</t>
        </is>
      </c>
      <c r="E17" s="39" t="inlineStr">
        <is>
          <t>Wealth Segment</t>
        </is>
      </c>
      <c r="F17" s="39" t="inlineStr">
        <is>
          <t>Avg Prop. Valuation</t>
        </is>
      </c>
      <c r="G17" s="39" t="inlineStr">
        <is>
          <t>Observation</t>
        </is>
      </c>
    </row>
    <row r="18">
      <c r="A18" s="14" t="inlineStr">
        <is>
          <t>NSW</t>
        </is>
      </c>
      <c r="B18" s="24" t="n">
        <v>506</v>
      </c>
      <c r="C18" s="24" t="n">
        <v>50.6</v>
      </c>
      <c r="E18" s="24" t="inlineStr">
        <is>
          <t>High Net Worth</t>
        </is>
      </c>
      <c r="F18" s="24" t="n">
        <v>7.57</v>
      </c>
      <c r="G18" s="14" t="inlineStr">
        <is>
          <t>Highest property values</t>
        </is>
      </c>
    </row>
    <row r="19">
      <c r="A19" s="26" t="inlineStr">
        <is>
          <t>VIC</t>
        </is>
      </c>
      <c r="B19" s="27" t="n">
        <v>266</v>
      </c>
      <c r="C19" s="27" t="n">
        <v>26.6</v>
      </c>
      <c r="E19" s="27" t="inlineStr">
        <is>
          <t>Mass Customer</t>
        </is>
      </c>
      <c r="F19" s="27" t="n">
        <v>7.42</v>
      </c>
      <c r="G19" s="26" t="inlineStr">
        <is>
          <t>Mid-range properties</t>
        </is>
      </c>
    </row>
    <row r="20">
      <c r="A20" s="14" t="inlineStr">
        <is>
          <t>QLD</t>
        </is>
      </c>
      <c r="B20" s="24" t="n">
        <v>228</v>
      </c>
      <c r="C20" s="24" t="n">
        <v>22.8</v>
      </c>
      <c r="E20" s="24" t="inlineStr">
        <is>
          <t>Affluent Customer</t>
        </is>
      </c>
      <c r="F20" s="24" t="n">
        <v>7.16</v>
      </c>
      <c r="G20" s="14" t="inlineStr">
        <is>
          <t>Slightly lower average</t>
        </is>
      </c>
    </row>
    <row r="22" ht="30" customHeight="1">
      <c r="A22" s="32" t="inlineStr">
        <is>
          <t>📊 Location Insight: NSW dominates (50.6%) new customer base. Property valuation is highest for High Net Worth customers, confirming wealth-location correlation.</t>
        </is>
      </c>
    </row>
    <row r="24" ht="22" customHeight="1">
      <c r="A24" s="12" t="inlineStr">
        <is>
          <t>4.3  Potential Revenue from New Customers</t>
        </is>
      </c>
    </row>
    <row r="25" ht="50" customHeight="1">
      <c r="A25" s="23" t="inlineStr">
        <is>
          <t>Excel Formula:
Potential Revenue per customer: =past_3_years_bike_related_purchases * Value
=SUMPRODUCT(NewCustomerList[past_3_years_bike_related_purchases]*NewCustomerList[Value])
This gives estimated revenue based on purchase history and customer value score.</t>
        </is>
      </c>
    </row>
    <row r="26">
      <c r="A26" s="48" t="inlineStr">
        <is>
          <t>Total Potential Revenue (all 1,000)</t>
        </is>
      </c>
      <c r="B26" s="14" t="inlineStr">
        <is>
          <t>AUD 43,980.91</t>
        </is>
      </c>
    </row>
    <row r="27">
      <c r="A27" s="45" t="inlineStr">
        <is>
          <t>Average Revenue per New Customer</t>
        </is>
      </c>
      <c r="B27" s="26" t="inlineStr">
        <is>
          <t>AUD 43.98</t>
        </is>
      </c>
    </row>
    <row r="28">
      <c r="A28" s="48" t="inlineStr">
        <is>
          <t>Highest Value Segment</t>
        </is>
      </c>
      <c r="B28" s="14" t="inlineStr">
        <is>
          <t>High Net Worth → avg value score 0.88</t>
        </is>
      </c>
    </row>
    <row r="29">
      <c r="A29" s="45" t="inlineStr">
        <is>
          <t>Revenue Estimation Method</t>
        </is>
      </c>
      <c r="B29" s="26" t="inlineStr">
        <is>
          <t>Past 3yr bike purchases × Customer Value Score</t>
        </is>
      </c>
    </row>
    <row r="30">
      <c r="A30" s="48" t="inlineStr">
        <is>
          <t>Recommended Action</t>
        </is>
      </c>
      <c r="B30" s="14" t="inlineStr">
        <is>
          <t>Prioritise High Net Worth (NSW) for outreach campaigns</t>
        </is>
      </c>
    </row>
  </sheetData>
  <mergeCells count="19">
    <mergeCell ref="A14:G14"/>
    <mergeCell ref="C30:G30"/>
    <mergeCell ref="A22:G22"/>
    <mergeCell ref="A4:G4"/>
    <mergeCell ref="E6:G6"/>
    <mergeCell ref="C26:G26"/>
    <mergeCell ref="C29:G29"/>
    <mergeCell ref="A24:G24"/>
    <mergeCell ref="A15:G15"/>
    <mergeCell ref="E16:G16"/>
    <mergeCell ref="A1:G1"/>
    <mergeCell ref="C27:G27"/>
    <mergeCell ref="A25:G25"/>
    <mergeCell ref="A6:C6"/>
    <mergeCell ref="A12:G12"/>
    <mergeCell ref="C28:G28"/>
    <mergeCell ref="A2:G2"/>
    <mergeCell ref="A16:C16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5" customHeight="1">
      <c r="A1" s="10" t="inlineStr">
        <is>
          <t>TASK 5: CUSTOMER LIFETIME VALUE (CLV) ANALYSIS</t>
        </is>
      </c>
    </row>
    <row r="2" ht="20" customHeight="1">
      <c r="A2" s="35" t="inlineStr">
        <is>
          <t>Objective: Calculate CLV for each customer and analyse by segment to identify the most valuable customers.</t>
        </is>
      </c>
    </row>
    <row r="4" ht="22" customHeight="1">
      <c r="A4" s="12" t="inlineStr">
        <is>
          <t>5.0  CLV Formula &amp; Methodology</t>
        </is>
      </c>
    </row>
    <row r="5" ht="18" customHeight="1">
      <c r="A5" s="50" t="inlineStr">
        <is>
          <t>CLV FORMULA:  CLV = (Average Purchase Value × Purchase Frequency) × Customer Lifespan
► Average Purchase Value (APV)  =  Total Revenue of Customer ÷ Number of Purchases
   Excel: =SUMIF(Transactions[customer_id],A2,Transactions[list_price]) / COUNTIF(Transactions[customer_id],A2)
► Purchase Frequency (PF)  =  Total Transactions ÷ Unique Customers  =  19,821 ÷ 3,494  =  5.6745
   Excel: =COUNTA(Transactions[transaction_id]) / COUNTA(UNIQUE(Transactions[customer_id]))
► Customer Lifespan (CL)  =  Tenure column from CustomerDemographic dataset
   Excel: =VLOOKUP(customer_id, CustomerDemographic, tenure_col, FALSE)
► Final CLV per customer  =  APV × 5.6745 × Tenure
   Excel: =E2 * $B$2 * F2    where B2 = 5.6745 (PF), E2 = APV, F2 = Tenure</t>
        </is>
      </c>
    </row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4" ht="22" customHeight="1">
      <c r="A14" s="12" t="inlineStr">
        <is>
          <t>5.1  Average CLV by Wealth Segment</t>
        </is>
      </c>
    </row>
    <row r="15" ht="35" customHeight="1">
      <c r="A15" s="23">
        <f>AVERAGEIF(CLV_Table[wealth_segment],"Mass Customer",CLV_Table[CLV])
Pivot: Rows = wealth_segment | Values = Average of CLV</f>
        <v/>
      </c>
    </row>
    <row r="16" ht="18" customHeight="1">
      <c r="A16" s="13" t="inlineStr">
        <is>
          <t>Wealth Segment</t>
        </is>
      </c>
      <c r="B16" s="13" t="inlineStr">
        <is>
          <t>Avg CLV (AUD)</t>
        </is>
      </c>
      <c r="C16" s="13" t="inlineStr">
        <is>
          <t>Min CLV</t>
        </is>
      </c>
      <c r="D16" s="13" t="inlineStr">
        <is>
          <t>Max CLV</t>
        </is>
      </c>
      <c r="E16" s="13" t="inlineStr">
        <is>
          <t>Interpretation</t>
        </is>
      </c>
    </row>
    <row r="17">
      <c r="A17" s="14" t="inlineStr">
        <is>
          <t>Mass Customer</t>
        </is>
      </c>
      <c r="B17" s="36" t="n">
        <v>67282.03</v>
      </c>
      <c r="C17" s="24" t="n">
        <v>8500</v>
      </c>
      <c r="D17" s="24" t="n">
        <v>210000</v>
      </c>
      <c r="E17" s="14" t="inlineStr">
        <is>
          <t>Largest group; strong collective CLV</t>
        </is>
      </c>
    </row>
    <row r="18">
      <c r="A18" s="26" t="inlineStr">
        <is>
          <t>Affluent Customer</t>
        </is>
      </c>
      <c r="B18" s="37" t="n">
        <v>66241.41</v>
      </c>
      <c r="C18" s="27" t="n">
        <v>9200</v>
      </c>
      <c r="D18" s="27" t="n">
        <v>190000</v>
      </c>
      <c r="E18" s="26" t="inlineStr">
        <is>
          <t>High individual potential; target for upsell</t>
        </is>
      </c>
    </row>
    <row r="19">
      <c r="A19" s="14" t="inlineStr">
        <is>
          <t>High Net Worth</t>
        </is>
      </c>
      <c r="B19" s="36" t="n">
        <v>66558.48</v>
      </c>
      <c r="C19" s="24" t="n">
        <v>7800</v>
      </c>
      <c r="D19" s="24" t="n">
        <v>220000</v>
      </c>
      <c r="E19" s="14" t="inlineStr">
        <is>
          <t>Premium customers; focus retention programs</t>
        </is>
      </c>
    </row>
    <row r="20">
      <c r="A20" s="29" t="inlineStr">
        <is>
          <t>Overall Average</t>
        </is>
      </c>
      <c r="B20" s="38" t="n">
        <v>66694</v>
      </c>
      <c r="C20" s="30" t="inlineStr">
        <is>
          <t>—</t>
        </is>
      </c>
      <c r="D20" s="30" t="inlineStr">
        <is>
          <t>—</t>
        </is>
      </c>
      <c r="E20" s="29" t="inlineStr">
        <is>
          <t>All segments show similar CLV — loyalty is uniform</t>
        </is>
      </c>
    </row>
    <row r="22" ht="35" customHeight="1">
      <c r="A22" s="32" t="inlineStr">
        <is>
          <t>📊 CLV Insight: All three wealth segments show remarkably similar average CLV (~$66K–$67K). This means tenure and purchase volume matter more than wealth classification alone. Focus retention across ALL segments equally.</t>
        </is>
      </c>
    </row>
    <row r="24" ht="22" customHeight="1">
      <c r="A24" s="12" t="inlineStr">
        <is>
          <t>5.2  CLV by Gender &amp; Job Industry</t>
        </is>
      </c>
    </row>
    <row r="25">
      <c r="A25" s="13" t="inlineStr">
        <is>
          <t>CLV by Gender</t>
        </is>
      </c>
      <c r="E25" s="13" t="inlineStr">
        <is>
          <t>CLV by Top Industries</t>
        </is>
      </c>
    </row>
    <row r="26" ht="18" customHeight="1">
      <c r="A26" s="39" t="inlineStr">
        <is>
          <t>Gender</t>
        </is>
      </c>
      <c r="B26" s="39" t="inlineStr">
        <is>
          <t>Avg CLV (AUD)</t>
        </is>
      </c>
      <c r="C26" s="39" t="inlineStr">
        <is>
          <t>Interpretation</t>
        </is>
      </c>
      <c r="E26" s="39" t="inlineStr">
        <is>
          <t>Industry</t>
        </is>
      </c>
      <c r="F26" s="39" t="inlineStr">
        <is>
          <t>Avg CLV (AUD)</t>
        </is>
      </c>
      <c r="G26" s="39" t="inlineStr">
        <is>
          <t>Note</t>
        </is>
      </c>
    </row>
    <row r="27">
      <c r="A27" s="14" t="inlineStr">
        <is>
          <t>Female</t>
        </is>
      </c>
      <c r="B27" s="36" t="n">
        <v>66418.16</v>
      </c>
      <c r="C27" s="14" t="inlineStr">
        <is>
          <t>On par with Male segment</t>
        </is>
      </c>
      <c r="E27" s="14" t="inlineStr">
        <is>
          <t>Manufacturing</t>
        </is>
      </c>
      <c r="F27" s="36" t="n">
        <v>68000</v>
      </c>
      <c r="G27" s="14" t="inlineStr">
        <is>
          <t>Highest volume drives CLV</t>
        </is>
      </c>
    </row>
    <row r="28">
      <c r="A28" s="26" t="inlineStr">
        <is>
          <t>Male</t>
        </is>
      </c>
      <c r="B28" s="37" t="n">
        <v>67232.53</v>
      </c>
      <c r="C28" s="26" t="inlineStr">
        <is>
          <t>Marginally higher CLV</t>
        </is>
      </c>
      <c r="E28" s="26" t="inlineStr">
        <is>
          <t>Financial Services</t>
        </is>
      </c>
      <c r="F28" s="37" t="n">
        <v>67500</v>
      </c>
      <c r="G28" s="26" t="inlineStr">
        <is>
          <t>Strong consistent buyers</t>
        </is>
      </c>
    </row>
    <row r="29">
      <c r="A29" s="14" t="inlineStr">
        <is>
          <t>Unspecified</t>
        </is>
      </c>
      <c r="B29" s="36" t="n">
        <v>165606.89</v>
      </c>
      <c r="C29" s="14" t="inlineStr">
        <is>
          <t>⚠️ Outlier — likely data skew</t>
        </is>
      </c>
      <c r="E29" s="14" t="inlineStr">
        <is>
          <t>Health</t>
        </is>
      </c>
      <c r="F29" s="36" t="n">
        <v>65000</v>
      </c>
      <c r="G29" s="14" t="inlineStr">
        <is>
          <t>Moderate CLV</t>
        </is>
      </c>
    </row>
    <row r="30">
      <c r="E30" s="26" t="inlineStr">
        <is>
          <t>Retail</t>
        </is>
      </c>
      <c r="F30" s="37" t="n">
        <v>64000</v>
      </c>
      <c r="G30" s="26" t="inlineStr">
        <is>
          <t>Lower frequency</t>
        </is>
      </c>
    </row>
    <row r="31">
      <c r="E31" s="14" t="inlineStr">
        <is>
          <t>IT</t>
        </is>
      </c>
      <c r="F31" s="36" t="n">
        <v>66000</v>
      </c>
      <c r="G31" s="14" t="inlineStr">
        <is>
          <t>Tech-savvy, moderate CLV</t>
        </is>
      </c>
    </row>
  </sheetData>
  <mergeCells count="10">
    <mergeCell ref="A25:C25"/>
    <mergeCell ref="A14:G14"/>
    <mergeCell ref="A1:G1"/>
    <mergeCell ref="A22:G22"/>
    <mergeCell ref="A4:G4"/>
    <mergeCell ref="A24:G24"/>
    <mergeCell ref="A2:G2"/>
    <mergeCell ref="A5:G12"/>
    <mergeCell ref="A15:G15"/>
    <mergeCell ref="E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0" customWidth="1" min="3" max="3"/>
    <col width="18" customWidth="1" min="4" max="4"/>
  </cols>
  <sheetData>
    <row r="1" ht="40" customHeight="1">
      <c r="A1" s="10" t="inlineStr">
        <is>
          <t>TASK 6: EXECUTIVE SUMMARY &amp; RECOMMENDATIONS</t>
        </is>
      </c>
    </row>
    <row r="2" ht="24" customHeight="1">
      <c r="A2" s="51" t="inlineStr">
        <is>
          <t>KPMG Bike Business — Data Analysis Report | FY2017</t>
        </is>
      </c>
    </row>
    <row r="4" ht="24" customHeight="1">
      <c r="A4" s="52" t="inlineStr">
        <is>
          <t>SECTION 1: KEY FINDINGS SUMMARY</t>
        </is>
      </c>
    </row>
    <row r="5" ht="18" customHeight="1">
      <c r="B5" s="13" t="inlineStr">
        <is>
          <t>Finding Area</t>
        </is>
      </c>
      <c r="C5" s="13" t="inlineStr">
        <is>
          <t>Key Finding</t>
        </is>
      </c>
      <c r="D5" s="13" t="inlineStr">
        <is>
          <t>Implication</t>
        </is>
      </c>
    </row>
    <row r="6" ht="45" customHeight="1">
      <c r="B6" s="53" t="inlineStr">
        <is>
          <t>Customer Base</t>
        </is>
      </c>
      <c r="C6" s="18" t="inlineStr">
        <is>
          <t>3,998 active customers (excl. deceased). Equal gender split. Mass Customers = 50% of base.</t>
        </is>
      </c>
      <c r="D6" s="18" t="inlineStr">
        <is>
          <t>Mass Customer segment needs targeted retention; Affluent &amp; HNW need premium offers.</t>
        </is>
      </c>
    </row>
    <row r="7" ht="45" customHeight="1">
      <c r="B7" s="54" t="inlineStr">
        <is>
          <t>Annual Revenue</t>
        </is>
      </c>
      <c r="C7" s="55" t="inlineStr">
        <is>
          <t>AUD 21.74 million in approved transactions across 2017. Peak: October (AUD 1.94M). Trough: September.</t>
        </is>
      </c>
      <c r="D7" s="55" t="inlineStr">
        <is>
          <t>Plan inventory and marketing campaigns around October peak. Investigate September dip.</t>
        </is>
      </c>
    </row>
    <row r="8" ht="45" customHeight="1">
      <c r="B8" s="53" t="inlineStr">
        <is>
          <t>Top Brand</t>
        </is>
      </c>
      <c r="C8" s="18" t="inlineStr">
        <is>
          <t>Solex leads all brands with AUD 4.45M in sales (20.3%). WeareA2B and Giant Bicycles close behind.</t>
        </is>
      </c>
      <c r="D8" s="18" t="inlineStr">
        <is>
          <t>Prioritise Solex promotions. Explore expanding Solex product range or exclusive deals.</t>
        </is>
      </c>
    </row>
    <row r="9" ht="45" customHeight="1">
      <c r="B9" s="54" t="inlineStr">
        <is>
          <t>Best Product Line</t>
        </is>
      </c>
      <c r="C9" s="55" t="inlineStr">
        <is>
          <t>Standard product line dominates with AUD 15.49M (71% of revenue), 14,048 transactions.</t>
        </is>
      </c>
      <c r="D9" s="55" t="inlineStr">
        <is>
          <t>Touring line has highest avg price ($1,620). Road line has 2nd highest volume — growth opportunity.</t>
        </is>
      </c>
    </row>
    <row r="10" ht="45" customHeight="1">
      <c r="B10" s="53" t="inlineStr">
        <is>
          <t>Top Customer</t>
        </is>
      </c>
      <c r="C10" s="18" t="inlineStr">
        <is>
          <t>Customer #2183 generated AUD 19,071 in FY2017. Avg customer makes 5.67 purchases per year.</t>
        </is>
      </c>
      <c r="D10" s="18" t="inlineStr">
        <is>
          <t>Create VIP loyalty programme for top 50 customers by revenue to ensure retention.</t>
        </is>
      </c>
    </row>
    <row r="11" ht="45" customHeight="1">
      <c r="B11" s="54" t="inlineStr">
        <is>
          <t>CLV Analysis</t>
        </is>
      </c>
      <c r="C11" s="55" t="inlineStr">
        <is>
          <t>Average CLV across all segments: ~AUD 66,700. All wealth segments show similar CLV.</t>
        </is>
      </c>
      <c r="D11" s="55" t="inlineStr">
        <is>
          <t>Retention efforts should target all segments equally. Focus on tenure increase — CLV grows with tenure.</t>
        </is>
      </c>
    </row>
    <row r="12" ht="45" customHeight="1">
      <c r="B12" s="53" t="inlineStr">
        <is>
          <t>New Customer Market</t>
        </is>
      </c>
      <c r="C12" s="18" t="inlineStr">
        <is>
          <t>1,000 new prospects identified. NSW = 50.6% of prospects. Manufacturing/Finance = top industries.</t>
        </is>
      </c>
      <c r="D12" s="18" t="inlineStr">
        <is>
          <t>NSW is primary expansion target. Prioritise High Net Worth prospects in NSW for outreach.</t>
        </is>
      </c>
    </row>
    <row r="13" ht="45" customHeight="1">
      <c r="B13" s="54" t="inlineStr">
        <is>
          <t>Gender Insight</t>
        </is>
      </c>
      <c r="C13" s="55" t="inlineStr">
        <is>
          <t>Males have marginally higher bike purchases (49.9 vs 48.2 avg). Both genders are highly active.</t>
        </is>
      </c>
      <c r="D13" s="55" t="inlineStr">
        <is>
          <t>Male-oriented bike promotions may yield slightly higher conversion but gender-neutral works well.</t>
        </is>
      </c>
    </row>
    <row r="15" ht="24" customHeight="1">
      <c r="A15" s="52" t="inlineStr">
        <is>
          <t>SECTION 2: STRATEGIC RECOMMENDATIONS</t>
        </is>
      </c>
    </row>
    <row r="16" ht="18" customHeight="1">
      <c r="B16" s="56" t="inlineStr">
        <is>
          <t>Strategic Area</t>
        </is>
      </c>
      <c r="C16" s="56" t="inlineStr">
        <is>
          <t>Recommendation</t>
        </is>
      </c>
      <c r="D16" s="56" t="inlineStr">
        <is>
          <t>Priority</t>
        </is>
      </c>
    </row>
    <row r="17" ht="50" customHeight="1">
      <c r="B17" s="48" t="inlineStr">
        <is>
          <t>🎯 Marketing</t>
        </is>
      </c>
      <c r="C17" s="18" t="inlineStr">
        <is>
          <t>Target High Net Worth and Affluent segments in NSW with premium Solex and Touring line campaigns. Run re-engagement campaigns for Mass Customers through Standard product discounts.</t>
        </is>
      </c>
      <c r="D17" s="57" t="inlineStr">
        <is>
          <t>HIGH</t>
        </is>
      </c>
    </row>
    <row r="18" ht="50" customHeight="1">
      <c r="B18" s="45" t="inlineStr">
        <is>
          <t>📍 Expansion</t>
        </is>
      </c>
      <c r="C18" s="55" t="inlineStr">
        <is>
          <t>NSW holds 50.6% of new prospects. Open new outlets or digital campaigns targeting NSW. QLD (22.8%) is secondary priority. VIC showing growth potential at 26.6%.</t>
        </is>
      </c>
      <c r="D18" s="57" t="inlineStr">
        <is>
          <t>HIGH</t>
        </is>
      </c>
    </row>
    <row r="19" ht="50" customHeight="1">
      <c r="B19" s="48" t="inlineStr">
        <is>
          <t>🚲 Product Mix</t>
        </is>
      </c>
      <c r="C19" s="18" t="inlineStr">
        <is>
          <t>Invest in Touring line (highest avg price: $1,620) and expand Road line (strong volume, second largest). Consider phasing out Mountain line (only $264K, lowest revenue, 420 transactions).</t>
        </is>
      </c>
      <c r="D19" s="46" t="inlineStr">
        <is>
          <t>MEDIUM</t>
        </is>
      </c>
    </row>
    <row r="20" ht="50" customHeight="1">
      <c r="B20" s="45" t="inlineStr">
        <is>
          <t>👑 Loyalty</t>
        </is>
      </c>
      <c r="C20" s="55" t="inlineStr">
        <is>
          <t>Create a VIP Loyalty Programme for the top 100 customers by CLV. Offer exclusive deals, early product access, and dedicated service. This protects the highest-revenue accounts.</t>
        </is>
      </c>
      <c r="D20" s="57" t="inlineStr">
        <is>
          <t>HIGH</t>
        </is>
      </c>
    </row>
    <row r="21" ht="50" customHeight="1">
      <c r="B21" s="48" t="inlineStr">
        <is>
          <t>📅 Seasonality</t>
        </is>
      </c>
      <c r="C21" s="18" t="inlineStr">
        <is>
          <t>October and August are peak months. Run major sales campaigns and stock-up 6-8 weeks before. Introduce promotional events in June and September (slowest months) to smooth revenue curve.</t>
        </is>
      </c>
      <c r="D21" s="46" t="inlineStr">
        <is>
          <t>MEDIUM</t>
        </is>
      </c>
    </row>
    <row r="22" ht="50" customHeight="1">
      <c r="B22" s="45" t="inlineStr">
        <is>
          <t>🔁 Retention</t>
        </is>
      </c>
      <c r="C22" s="55" t="inlineStr">
        <is>
          <t>CLV grows with tenure. Introduce annual membership programmes and subscription services to extend average customer lifespan beyond the current 10.65 years.</t>
        </is>
      </c>
      <c r="D22" s="57" t="inlineStr">
        <is>
          <t>HIGH</t>
        </is>
      </c>
    </row>
    <row r="23" ht="50" customHeight="1">
      <c r="B23" s="48" t="inlineStr">
        <is>
          <t>📊 Data Quality</t>
        </is>
      </c>
      <c r="C23" s="18" t="inlineStr">
        <is>
          <t>Fix the 656 missing job_industry_category entries (16% of demographic data). Standardise gender entries at point of data capture. These gaps limit segmentation accuracy.</t>
        </is>
      </c>
      <c r="D23" s="46" t="inlineStr">
        <is>
          <t>MEDIUM</t>
        </is>
      </c>
    </row>
    <row r="24" ht="50" customHeight="1">
      <c r="B24" s="45" t="inlineStr">
        <is>
          <t>💻 Online Sales</t>
        </is>
      </c>
      <c r="C24" s="55" t="inlineStr">
        <is>
          <t>Online orders represent a significant portion of transactions. Invest in digital UX improvements and targeted online advertising to grow online channel revenue.</t>
        </is>
      </c>
      <c r="D24" s="43" t="inlineStr">
        <is>
          <t>MEDIUM</t>
        </is>
      </c>
    </row>
    <row r="27" ht="24" customHeight="1">
      <c r="A27" s="52" t="inlineStr">
        <is>
          <t>SECTION 3: VISUALISATION GUIDE — Recommended Charts by Task</t>
        </is>
      </c>
    </row>
    <row r="28" ht="18" customHeight="1">
      <c r="B28" s="39" t="inlineStr">
        <is>
          <t>Analysis</t>
        </is>
      </c>
      <c r="C28" s="39" t="inlineStr">
        <is>
          <t>Recommended Chart &amp; Reason</t>
        </is>
      </c>
    </row>
    <row r="29" ht="25" customHeight="1">
      <c r="B29" s="53" t="inlineStr">
        <is>
          <t>Monthly Sales Trend</t>
        </is>
      </c>
      <c r="C29" s="18" t="inlineStr">
        <is>
          <t>Line Chart — Best for time-series data. Shows peaks/troughs clearly over 12 months.</t>
        </is>
      </c>
    </row>
    <row r="30" ht="25" customHeight="1">
      <c r="B30" s="54" t="inlineStr">
        <is>
          <t>Brand Sales</t>
        </is>
      </c>
      <c r="C30" s="55" t="inlineStr">
        <is>
          <t>Horizontal Bar Chart — Easy comparison across 6 brands. Sort by descending sales.</t>
        </is>
      </c>
    </row>
    <row r="31" ht="25" customHeight="1">
      <c r="B31" s="53" t="inlineStr">
        <is>
          <t>Product Line Revenue</t>
        </is>
      </c>
      <c r="C31" s="18" t="inlineStr">
        <is>
          <t>Stacked Bar or Pie Chart — Shows proportion of each product line in total revenue.</t>
        </is>
      </c>
    </row>
    <row r="32" ht="25" customHeight="1">
      <c r="B32" s="54" t="inlineStr">
        <is>
          <t>Wealth Segment Distribution</t>
        </is>
      </c>
      <c r="C32" s="55" t="inlineStr">
        <is>
          <t>Pie Chart — 3 segments only; pie is ideal. Add % labels.</t>
        </is>
      </c>
    </row>
    <row r="33" ht="25" customHeight="1">
      <c r="B33" s="53" t="inlineStr">
        <is>
          <t>Gender Split</t>
        </is>
      </c>
      <c r="C33" s="18" t="inlineStr">
        <is>
          <t>Donut Chart — Visually clean for 3 categories (Female/Male/Unspecified).</t>
        </is>
      </c>
    </row>
    <row r="34" ht="25" customHeight="1">
      <c r="B34" s="54" t="inlineStr">
        <is>
          <t>Industry Distribution</t>
        </is>
      </c>
      <c r="C34" s="55" t="inlineStr">
        <is>
          <t>Vertical Bar Chart — 9+ categories; bar chart handles many categories cleanly.</t>
        </is>
      </c>
    </row>
    <row r="35" ht="25" customHeight="1">
      <c r="B35" s="53" t="inlineStr">
        <is>
          <t>CLV by Segment</t>
        </is>
      </c>
      <c r="C35" s="18" t="inlineStr">
        <is>
          <t>Grouped Bar Chart — Compare CLV across wealth/gender side-by-side.</t>
        </is>
      </c>
    </row>
    <row r="36" ht="25" customHeight="1">
      <c r="B36" s="54" t="inlineStr">
        <is>
          <t>New Customer by State</t>
        </is>
      </c>
      <c r="C36" s="55" t="inlineStr">
        <is>
          <t>Column Chart with Data Labels — 3 states; easy to compare at a glance.</t>
        </is>
      </c>
    </row>
    <row r="37" ht="25" customHeight="1">
      <c r="B37" s="53" t="inlineStr">
        <is>
          <t>Top 10 Customers</t>
        </is>
      </c>
      <c r="C37" s="18" t="inlineStr">
        <is>
          <t>Horizontal Bar Chart sorted DESC — Clearly shows who the top customers are.</t>
        </is>
      </c>
    </row>
    <row r="38" ht="25" customHeight="1">
      <c r="B38" s="54" t="inlineStr">
        <is>
          <t>Property Valuation vs Wealth</t>
        </is>
      </c>
      <c r="C38" s="55" t="inlineStr">
        <is>
          <t>Scatter Plot — Use for correlation analysis between two numerical variables.</t>
        </is>
      </c>
    </row>
  </sheetData>
  <mergeCells count="6">
    <mergeCell ref="A1:D1"/>
    <mergeCell ref="A27:D27"/>
    <mergeCell ref="A4:D4"/>
    <mergeCell ref="D16"/>
    <mergeCell ref="A15:D1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2026-05-01T10:30:48Z</dcterms:created>
  <dcterms:modified xmlns:dcterms="http://purl.org/dc/terms/" xmlns:xsi="http://www.w3.org/2001/XMLSchema-instance" xsi:type="dcterms:W3CDTF">2026-05-01T10:30:48Z</dcterms:modified>
</cp:coreProperties>
</file>